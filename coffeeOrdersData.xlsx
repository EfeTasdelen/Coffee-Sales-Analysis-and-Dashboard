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1730B90-3FEB-4BED-B2B3-32A872F67CC6}" xr6:coauthVersionLast="47" xr6:coauthVersionMax="47" xr10:uidLastSave="{00000000-0000-0000-0000-000000000000}"/>
  <bookViews>
    <workbookView xWindow="-120" yWindow="-120" windowWidth="29040" windowHeight="15720" activeTab="3" xr2:uid="{00000000-000D-0000-FFFF-FFFF00000000}"/>
  </bookViews>
  <sheets>
    <sheet name="TotalSales" sheetId="18" r:id="rId1"/>
    <sheet name="Country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<sst xmlns="http://schemas.openxmlformats.org/spreadsheetml/2006/main" count="11085" uniqueCount="6208">
  <si>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</si>
  <si>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</si>
  <si>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</si>
  <si>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</si>
  <si>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</si>
  <si>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</si>
  <si>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</si>
  <si>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</si>
  <si>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</si>
  <si>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</si>
  <si>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</si>
  <si>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</si>
  <si>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</si>
  <si>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</si>
  <si>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</si>
  <si>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</si>
  <si>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</si>
  <si>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</si>
  <si>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</si>
  <si>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</si>
  <si>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</si>
  <si>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</si>
  <si>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</si>
  <si>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</si>
  <si>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</si>
  <si>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</si>
  <si>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</si>
  <si>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</si>
  <si>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</si>
  <si>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</si>
  <si>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</si>
  <si>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</si>
  <si>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</si>
  <si>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</si>
  <si>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</si>
  <si>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</si>
  <si>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</si>
  <si>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</si>
  <si>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</si>
  <si>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</si>
  <si>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</si>
  <si>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</si>
  <si>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</si>
  <si>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</si>
  <si>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</si>
  <si>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</si>
  <si>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</si>
  <si>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</si>
  <si>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</si>
  <si>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</si>
  <si>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</si>
  <si>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</si>
  <si>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</si>
  <si>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</si>
  <si>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</si>
  <si>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</si>
  <si>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</si>
  <si>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</si>
  <si>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</si>
  <si>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</si>
  <si>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</si>
  <si>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</si>
  <si>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</si>
  <si>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</si>
  <si>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</si>
  <si>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</si>
  <si>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</si>
  <si>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</si>
  <si>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</si>
  <si>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</si>
  <si>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</si>
  <si>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</si>
  <si>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</si>
  <si>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</si>
  <si>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</si>
  <si>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</si>
  <si>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</si>
  <si>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</si>
  <si>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</si>
  <si>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</si>
  <si>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</si>
  <si>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</si>
  <si>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</si>
  <si>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</si>
  <si>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</si>
  <si>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</si>
  <si>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</si>
  <si>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</si>
  <si>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</si>
  <si>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</si>
  <si>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</si>
  <si>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</si>
  <si>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</si>
  <si>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</si>
  <si>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</si>
  <si>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</si>
  <si>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</si>
  <si>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</si>
  <si>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</si>
  <si>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</si>
  <si>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</si>
  <si>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</si>
  <si>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</si>
  <si>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</si>
  <si>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</si>
  <si>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</si>
  <si>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</si>
  <si>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</si>
  <si>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</si>
  <si>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</si>
  <si>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</si>
  <si>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</si>
  <si>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</si>
  <si>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</si>
  <si>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</si>
  <si>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</si>
  <si>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</si>
  <si>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</si>
  <si>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</si>
  <si>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</si>
  <si>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</si>
  <si>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</si>
  <si>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</si>
  <si>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</si>
  <si>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</si>
  <si>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</si>
  <si>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</si>
  <si>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</si>
  <si>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</si>
  <si>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</si>
  <si>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</si>
  <si>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</si>
  <si>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</si>
  <si>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</si>
  <si>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</si>
  <si>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</si>
  <si>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</si>
  <si>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</si>
  <si>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</si>
  <si>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</si>
  <si>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</si>
  <si>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</si>
  <si>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</si>
  <si>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</si>
  <si>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</si>
  <si>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</si>
  <si>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</si>
  <si>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</si>
  <si>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</si>
  <si>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</si>
  <si>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</si>
  <si>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</si>
  <si>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</si>
  <si>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</si>
  <si>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</si>
  <si>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</si>
  <si>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</si>
  <si>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</si>
  <si>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</si>
  <si>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</si>
  <si>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</si>
  <si>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</si>
  <si>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</si>
  <si>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</si>
  <si>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</si>
  <si>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</si>
  <si>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</si>
  <si>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</si>
  <si>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</si>
  <si>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</si>
  <si>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</si>
  <si>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</si>
  <si>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</si>
  <si>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</si>
  <si>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</si>
  <si>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</si>
  <si>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</si>
  <si>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</si>
  <si>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</si>
  <si>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</si>
  <si>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</si>
  <si>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</si>
  <si>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</si>
  <si>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</si>
  <si>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</si>
  <si>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</si>
  <si>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</si>
  <si>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</si>
  <si>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</si>
  <si>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</si>
  <si>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</si>
  <si>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</si>
  <si>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</si>
  <si>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</si>
  <si>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</si>
  <si>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</si>
  <si>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</si>
  <si>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</si>
  <si>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</si>
  <si>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</si>
  <si>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</si>
  <si>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</si>
  <si>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</si>
  <si>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</si>
  <si>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</si>
  <si>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</si>
  <si>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</si>
  <si>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</si>
  <si>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</si>
  <si>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</si>
  <si>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</si>
  <si>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</si>
  <si>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</si>
  <si>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</si>
  <si>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</si>
  <si>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</si>
  <si>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</si>
  <si>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</si>
  <si>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</si>
  <si>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</si>
  <si>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</si>
  <si>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</si>
  <si>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</si>
  <si>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</si>
  <si>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</si>
  <si>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</si>
  <si>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</si>
  <si>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</si>
  <si>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</si>
  <si>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</si>
  <si>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</si>
  <si>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</si>
  <si>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</si>
  <si>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</si>
  <si>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</si>
  <si>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</si>
  <si>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</si>
  <si>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</si>
  <si>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</si>
  <si>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</si>
  <si>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</si>
  <si>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</si>
  <si>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</si>
  <si>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</si>
  <si>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</si>
  <si>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</si>
  <si>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</si>
  <si>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</si>
  <si>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</si>
  <si>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</si>
  <si>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</si>
  <si>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</si>
  <si>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</si>
  <si>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</si>
  <si>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</si>
  <si>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</si>
  <si>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</si>
  <si>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</si>
  <si>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</si>
  <si>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</si>
  <si>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</si>
  <si>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</si>
  <si>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</si>
  <si>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</si>
  <si>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</si>
  <si>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</si>
  <si>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</si>
  <si>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</si>
  <si>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</si>
  <si>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</si>
  <si>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</si>
  <si>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</si>
  <si>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</si>
  <si>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</si>
  <si>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</si>
  <si>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</si>
  <si>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</si>
  <si>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</si>
  <si>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</si>
  <si>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</si>
  <si>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</si>
  <si>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</si>
  <si>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</si>
  <si>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</si>
  <si>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</si>
  <si>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</si>
  <si>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</si>
  <si>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</si>
  <si>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</si>
  <si>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</si>
  <si>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</si>
  <si>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</si>
  <si>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</si>
  <si>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</si>
  <si>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</si>
  <si>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</si>
  <si>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</si>
  <si>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</si>
  <si>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</si>
  <si>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</si>
  <si>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</si>
  <si>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</si>
  <si>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</si>
  <si>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</si>
  <si>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</si>
  <si>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</si>
  <si>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</si>
  <si>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</si>
  <si>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</si>
  <si>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</si>
  <si>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</si>
  <si>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</si>
  <si>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</si>
  <si>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</si>
  <si>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</si>
  <si>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</si>
  <si>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</si>
  <si>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</si>
  <si>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</si>
  <si>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</si>
  <si>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</si>
  <si>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</si>
  <si>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</si>
  <si>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</si>
  <si>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</si>
  <si>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</si>
  <si>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</si>
  <si>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</si>
  <si>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</si>
  <si>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</si>
  <si>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</si>
  <si>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</si>
  <si>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</si>
  <si>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</si>
  <si>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</si>
  <si>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</si>
  <si>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</si>
  <si>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</si>
  <si>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</si>
  <si>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</si>
  <si>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</si>
  <si>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</si>
  <si>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</si>
  <si>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</si>
  <si>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</si>
  <si>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</si>
  <si>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</si>
  <si>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</si>
  <si>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</si>
  <si>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</si>
  <si>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</si>
  <si>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</si>
  <si>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</si>
  <si>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</si>
  <si>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</si>
  <si>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</si>
  <si>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</si>
  <si>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</si>
  <si>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</si>
  <si>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</si>
  <si>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</si>
  <si>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</si>
  <si>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</si>
  <si>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</si>
  <si>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</si>
  <si>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</si>
  <si>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</si>
  <si>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</si>
  <si>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</si>
  <si>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</si>
  <si>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</si>
  <si>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</si>
  <si>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</si>
  <si>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</si>
  <si>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</si>
  <si>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</si>
  <si>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</si>
  <si>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</si>
  <si>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</si>
  <si>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</si>
  <si>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</si>
  <si>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</si>
  <si>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</si>
  <si>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</si>
  <si>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</si>
  <si>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</si>
  <si>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</si>
  <si>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</si>
  <si>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</si>
  <si>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</si>
  <si>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</si>
  <si>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</si>
  <si>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</si>
  <si>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</si>
  <si>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</si>
  <si>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</si>
  <si>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</si>
  <si>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</si>
  <si>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</si>
  <si>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</si>
  <si>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</si>
  <si>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</si>
  <si>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</si>
  <si>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</si>
  <si>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</si>
  <si>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</si>
  <si>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</si>
  <si>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</si>
  <si>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</si>
  <si>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</si>
  <si>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</si>
  <si>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</si>
  <si>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</si>
  <si>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</si>
  <si>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</si>
  <si>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</si>
  <si>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</si>
  <si>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</si>
  <si>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</si>
  <si>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</si>
  <si>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</si>
  <si>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</si>
  <si>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</si>
  <si>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</si>
  <si>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</si>
  <si>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</si>
  <si>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</si>
  <si>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</si>
  <si>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</si>
  <si>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</si>
  <si>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</si>
  <si>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</si>
  <si>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</si>
  <si>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</si>
  <si>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</si>
  <si>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</si>
  <si>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</si>
  <si>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</si>
  <si>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</si>
  <si>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</si>
  <si>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</si>
  <si>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</si>
  <si>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</si>
  <si>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</si>
  <si>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</si>
  <si>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</si>
  <si>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</si>
  <si>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</si>
  <si>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</si>
  <si>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</si>
  <si>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</si>
  <si>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</si>
  <si>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</si>
  <si>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</si>
  <si>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</si>
  <si>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</si>
  <si>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</si>
  <si>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</si>
  <si>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</si>
  <si>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</si>
  <si>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</si>
  <si>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</si>
  <si>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</si>
  <si>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</si>
  <si>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</si>
  <si>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</si>
  <si>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</si>
  <si>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</si>
  <si>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</si>
  <si>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</si>
  <si>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</si>
  <si>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</si>
  <si>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</si>
  <si>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</si>
  <si>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</si>
  <si>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</si>
  <si>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</si>
  <si>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</si>
  <si>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</si>
  <si>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</si>
  <si>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</si>
  <si>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</si>
  <si>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</si>
  <si>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</si>
  <si>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</si>
  <si>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</si>
  <si>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</si>
  <si>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</si>
  <si>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</si>
  <si>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</si>
  <si>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</si>
  <si>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</si>
  <si>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</si>
  <si>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</si>
  <si>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</si>
  <si>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</si>
  <si>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</si>
  <si>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</si>
  <si>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</si>
  <si>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</si>
  <si>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</si>
  <si>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</si>
  <si>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</si>
  <si>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</si>
  <si>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</si>
  <si>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</si>
  <si>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</si>
  <si>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</si>
  <si>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</si>
  <si>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</si>
  <si>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</si>
  <si>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</si>
  <si>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</si>
  <si>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</si>
  <si>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</si>
  <si>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</si>
  <si>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</si>
  <si>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</si>
  <si>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</si>
  <si>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</si>
  <si>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</si>
  <si>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</si>
  <si>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</si>
  <si>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</si>
  <si>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</si>
  <si>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</si>
  <si>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</si>
  <si>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</si>
  <si>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</si>
  <si>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</si>
  <si>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</si>
  <si>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</si>
  <si>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</si>
  <si>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</si>
  <si>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</si>
  <si>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</si>
  <si>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</si>
  <si>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</si>
  <si>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</si>
  <si>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</si>
  <si>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</si>
  <si>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</si>
  <si>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</si>
  <si>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</si>
  <si>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</si>
  <si>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</si>
  <si>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</si>
  <si>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</si>
  <si>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</si>
  <si>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</si>
  <si>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</si>
  <si>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</si>
  <si>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</si>
  <si>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</si>
  <si>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</si>
  <si>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</si>
  <si>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</si>
  <si>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</si>
  <si>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</si>
  <si>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</si>
  <si>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</si>
  <si>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</si>
  <si>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</si>
  <si>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</si>
  <si>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</si>
  <si>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</si>
  <si>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</si>
  <si>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</si>
  <si>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</si>
  <si>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</si>
  <si>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</si>
  <si>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</si>
  <si>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</si>
  <si>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</si>
  <si>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</si>
  <si>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</si>
  <si>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</si>
  <si>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</si>
  <si>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</si>
  <si>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</si>
  <si>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</si>
  <si>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</si>
  <si>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</si>
  <si>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</si>
  <si>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</si>
  <si>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</si>
  <si>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</si>
  <si>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</si>
  <si>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</si>
  <si>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</si>
  <si>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</si>
  <si>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</si>
  <si>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</si>
  <si>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</si>
  <si>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</si>
  <si>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</si>
  <si>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</si>
  <si>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</si>
  <si>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</si>
  <si>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</si>
  <si>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</si>
  <si>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</si>
  <si>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</si>
  <si>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</si>
  <si>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</si>
  <si>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</si>
  <si>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</si>
  <si>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</si>
  <si>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</si>
  <si>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</si>
  <si>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</si>
  <si>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</si>
  <si>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</si>
  <si>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</si>
  <si>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</si>
  <si>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</si>
  <si>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</si>
  <si>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</si>
  <si>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</si>
  <si>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</si>
  <si>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</si>
  <si>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</si>
  <si>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</si>
  <si>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</si>
  <si>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</si>
  <si>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</si>
  <si>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</si>
  <si>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</si>
  <si>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</si>
  <si>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</si>
  <si>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</si>
  <si>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</si>
  <si>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</si>
  <si>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</si>
  <si>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</si>
  <si>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</si>
  <si>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</si>
  <si>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</si>
  <si>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</si>
  <si>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</si>
  <si>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</si>
  <si>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</si>
  <si>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</si>
  <si>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</si>
  <si>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</si>
  <si>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</si>
  <si>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</si>
  <si>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</si>
  <si>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</si>
  <si>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</si>
  <si>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</si>
  <si>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</si>
  <si>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</si>
  <si>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</si>
  <si>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</si>
  <si>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</si>
  <si>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</si>
  <si>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</si>
  <si>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</si>
  <si>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</si>
  <si>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</si>
  <si>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</si>
  <si>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</si>
  <si>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</si>
  <si>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</si>
  <si>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</si>
  <si>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</si>
  <si>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</si>
  <si>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</si>
  <si>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</si>
  <si>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</si>
  <si>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</si>
  <si>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</si>
  <si>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</si>
  <si>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</si>
  <si>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</si>
  <si>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</si>
  <si>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</si>
  <si>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</si>
  <si>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</si>
  <si>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</si>
  <si>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</si>
  <si>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</si>
  <si>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</si>
  <si>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</si>
  <si>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</si>
  <si>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</si>
  <si>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</si>
  <si>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</si>
  <si>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</si>
  <si>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</si>
  <si>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</si>
  <si>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</si>
  <si>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</si>
  <si>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</si>
  <si>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</si>
  <si>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</si>
  <si>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</si>
  <si>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</si>
  <si>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</si>
  <si>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</si>
  <si>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</si>
  <si>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</si>
  <si>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</si>
  <si>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</si>
  <si>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</si>
  <si>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</si>
  <si>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</si>
  <si>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</si>
  <si>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</si>
  <si>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</si>
  <si>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</si>
  <si>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</si>
  <si>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</si>
  <si>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</si>
  <si>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</si>
  <si>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</si>
  <si>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</si>
  <si>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</si>
  <si>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</si>
  <si>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</si>
  <si>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</si>
  <si>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</si>
  <si>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</si>
  <si>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</si>
  <si>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</si>
  <si>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</si>
  <si>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</si>
  <si>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</si>
  <si>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</si>
  <si>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</si>
  <si>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</si>
  <si>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</si>
  <si>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</si>
  <si>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</si>
  <si>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</si>
  <si>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</si>
  <si>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</si>
  <si>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</si>
  <si>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</si>
  <si>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</si>
  <si>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</si>
  <si>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</si>
  <si>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</si>
  <si>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</si>
  <si>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</si>
  <si>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</si>
  <si>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</si>
  <si>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</si>
  <si>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</si>
  <si>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</si>
  <si>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</si>
  <si>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</si>
  <si>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</si>
  <si>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</si>
  <si>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</si>
  <si>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</si>
  <si>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</si>
  <si>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</si>
  <si>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</si>
  <si>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</si>
  <si>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</si>
  <si>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</si>
  <si>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</si>
  <si>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</si>
  <si>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</si>
  <si>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</si>
  <si>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</si>
  <si>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</si>
  <si>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</si>
  <si>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</si>
  <si>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</si>
  <si>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</si>
  <si>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</si>
  <si>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</si>
  <si>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</si>
  <si>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</si>
  <si>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</si>
  <si>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</si>
  <si>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</si>
  <si>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</si>
  <si>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</si>
  <si>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</si>
  <si>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</si>
  <si>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</si>
  <si>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</si>
  <si>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</si>
  <si>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</si>
  <si>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</si>
  <si>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</si>
  <si>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</si>
  <si>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</si>
  <si>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</si>
  <si>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</si>
  <si>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</si>
  <si>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</si>
  <si>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</si>
  <si>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</si>
  <si>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</si>
  <si>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</si>
  <si>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</si>
  <si>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</si>
  <si>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</si>
  <si>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</si>
  <si>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</si>
  <si>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</si>
  <si>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</si>
  <si>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</si>
  <si>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</si>
  <si>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</si>
  <si>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</si>
  <si>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</si>
  <si>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</si>
  <si>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</si>
  <si>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</si>
  <si>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</si>
  <si>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</si>
  <si>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</si>
  <si>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</si>
  <si>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</si>
  <si>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</si>
  <si>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</si>
  <si>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</si>
  <si>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</si>
  <si>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</si>
  <si>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</si>
  <si>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</si>
  <si>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</si>
  <si>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</si>
  <si>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</si>
  <si>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</si>
  <si>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</si>
  <si>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</si>
  <si>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</si>
  <si>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</si>
  <si>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</si>
  <si>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</si>
  <si>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</si>
  <si>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</si>
  <si>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</si>
  <si>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</si>
  <si>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</si>
  <si>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</si>
  <si>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</si>
  <si>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</si>
  <si>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</si>
  <si>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</si>
  <si>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</si>
  <si>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</si>
  <si>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</si>
  <si>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</si>
  <si>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</si>
  <si>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</si>
  <si>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</si>
  <si>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</si>
  <si>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</si>
  <si>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</si>
  <si>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</si>
  <si>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</si>
  <si>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</si>
  <si>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</si>
  <si>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</si>
  <si>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</si>
  <si>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</si>
  <si>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</si>
  <si>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</si>
  <si>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</si>
  <si>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</si>
  <si>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</si>
  <si>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</si>
  <si>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</si>
  <si>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</si>
  <si>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</si>
  <si>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</si>
  <si>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</si>
  <si>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</si>
  <si>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</si>
  <si>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</si>
  <si>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</si>
  <si>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</si>
  <si>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</si>
  <si>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</si>
  <si>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</si>
  <si>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</si>
  <si>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</si>
  <si>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</si>
  <si>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</si>
  <si>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</si>
  <si>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</si>
  <si>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</si>
  <si>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</si>
  <si>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</si>
  <si>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</si>
  <si>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</si>
  <si>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</si>
  <si>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</si>
  <si>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</si>
  <si>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</si>
  <si>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</si>
  <si>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</si>
  <si>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</si>
  <si>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</si>
  <si>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</si>
  <si>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</si>
  <si>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</si>
  <si>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</si>
  <si>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</si>
  <si>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</si>
  <si>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</si>
  <si>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</si>
  <si>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</si>
  <si>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</si>
  <si>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</si>
  <si>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</si>
  <si>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</si>
  <si>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</si>
  <si>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</si>
  <si>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</si>
  <si>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</si>
  <si>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</si>
  <si>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</si>
  <si>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</si>
  <si>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</si>
  <si>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</si>
  <si>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</si>
  <si>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</si>
  <si>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</si>
  <si>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</si>
  <si>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</si>
  <si>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</si>
  <si>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</si>
  <si>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</si>
  <si>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</si>
  <si>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</si>
  <si>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</si>
  <si>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</si>
  <si>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</si>
  <si>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</si>
  <si>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</si>
  <si>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</si>
  <si>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</si>
  <si>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</si>
  <si>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</si>
  <si>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</si>
  <si>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</si>
  <si>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</si>
  <si>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</si>
  <si>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</si>
  <si>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</si>
  <si>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</si>
  <si>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</si>
  <si>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</si>
  <si>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</si>
  <si>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</si>
  <si>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</si>
  <si>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</si>
  <si>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</si>
  <si>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</si>
  <si>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</si>
  <si>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</si>
  <si>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</si>
  <si>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</si>
  <si>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</si>
  <si>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</si>
  <si>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</si>
  <si>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</si>
  <si>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</si>
  <si>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</si>
  <si>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</si>
  <si>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</si>
  <si>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</si>
  <si>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</si>
  <si>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</si>
  <si>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</si>
  <si>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</si>
  <si>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</si>
  <si>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</si>
  <si>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</si>
  <si>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</si>
  <si>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</si>
  <si>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</si>
  <si>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</si>
  <si>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</si>
  <si>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</si>
  <si>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</si>
  <si>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</si>
  <si>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</si>
  <si>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</si>
  <si>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</si>
  <si>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</si>
  <si>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</si>
  <si>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</si>
  <si>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</si>
  <si>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</si>
  <si>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</si>
  <si>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</si>
  <si>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</si>
  <si>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</si>
  <si>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</si>
  <si>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</si>
  <si>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</si>
  <si>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</si>
  <si>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</si>
  <si>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</si>
  <si>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</si>
  <si>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</si>
  <si>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</si>
  <si>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</si>
  <si>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</si>
  <si>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</si>
  <si>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</si>
  <si>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</si>
  <si>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</si>
  <si>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</si>
  <si>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</si>
  <si>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</si>
  <si>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</si>
  <si>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</si>
  <si>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</si>
  <si>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</si>
  <si>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</si>
  <si>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</si>
  <si>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</si>
  <si>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</si>
  <si>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</si>
  <si>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</si>
  <si>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</si>
  <si>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</si>
  <si>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</si>
  <si>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</si>
  <si>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</si>
  <si>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</si>
  <si>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</si>
  <si>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</si>
  <si>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</si>
  <si>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</si>
  <si>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</si>
  <si>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</si>
  <si>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</si>
  <si>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</si>
  <si>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</si>
  <si>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</si>
  <si>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</si>
  <si>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</si>
  <si>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</si>
  <si>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</si>
  <si>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</si>
  <si>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</si>
  <si>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</si>
  <si>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</si>
  <si>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</si>
  <si>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</si>
  <si>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</si>
  <si>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</si>
  <si>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</si>
  <si>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</si>
  <si>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</si>
  <si>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</si>
  <si>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</si>
  <si>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</si>
  <si>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</si>
  <si>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</si>
  <si>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</si>
  <si>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</si>
  <si>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</si>
  <si>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</si>
  <si>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</si>
  <si>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</si>
  <si>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</si>
  <si>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</si>
  <si>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</si>
  <si>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</si>
  <si>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</si>
  <si>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</si>
  <si>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</si>
  <si>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</si>
  <si>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</si>
  <si>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</si>
  <si>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</si>
  <si>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</si>
  <si>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</si>
  <si>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</si>
  <si>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</si>
  <si>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</si>
  <si>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</si>
  <si>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</si>
  <si>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</si>
  <si>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</si>
  <si>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</si>
  <si>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</si>
  <si>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</si>
  <si>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</si>
  <si>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</si>
  <si>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</si>
  <si>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</si>
  <si>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</si>
  <si>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</si>
  <si>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</si>
  <si>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</si>
  <si>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</si>
  <si>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</si>
  <si>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</si>
  <si>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</si>
  <si>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</si>
  <si>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</si>
  <si>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</si>
  <si>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</si>
  <si>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</si>
  <si>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</si>
  <si>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</si>
  <si>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</si>
  <si>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</si>
  <si>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</si>
  <si>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</si>
  <si>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</si>
  <si>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</si>
  <si>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</si>
  <si>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</si>
  <si>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</si>
  <si>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</si>
  <si>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</si>
  <si>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</si>
  <si>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</si>
  <si>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</si>
  <si>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</si>
  <si>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</si>
  <si>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</si>
  <si>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</si>
  <si>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</si>
  <si>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</si>
  <si>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</si>
  <si>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</si>
  <si>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</si>
  <si>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</si>
  <si>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</si>
  <si>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</si>
  <si>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</si>
  <si>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</si>
  <si>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</si>
  <si>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</si>
  <si>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</si>
  <si>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</si>
  <si>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</si>
  <si>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</si>
  <si>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</si>
  <si>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</si>
  <si>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</si>
  <si>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</si>
  <si>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</si>
  <si>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</si>
  <si>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</si>
  <si>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</si>
  <si>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</si>
  <si>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</si>
  <si>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</si>
  <si>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</si>
  <si>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</si>
  <si>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</si>
  <si>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</si>
  <si>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</si>
  <si>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</si>
  <si>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</si>
  <si>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</si>
  <si>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</si>
  <si>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</si>
  <si>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</si>
  <si>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</si>
  <si>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</si>
  <si>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</si>
  <si>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</si>
  <si>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</si>
  <si>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</si>
  <si>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</si>
  <si>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</si>
  <si>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</si>
  <si>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</si>
  <si>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</si>
  <si>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</si>
  <si>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</si>
  <si>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</si>
  <si>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</si>
  <si>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</si>
  <si>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</si>
  <si>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</si>
  <si>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</si>
  <si>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</si>
  <si>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</si>
  <si>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</si>
  <si>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</si>
  <si>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</si>
  <si>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</si>
  <si>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</si>
  <si>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</si>
  <si>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</si>
  <si>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</si>
  <si>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</si>
  <si>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</si>
  <si>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</si>
  <si>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</si>
  <si>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</si>
  <si>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</si>
  <si>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</si>
  <si>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</si>
  <si>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</si>
  <si>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</si>
  <si>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</si>
  <si>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</si>
  <si>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</si>
  <si>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</si>
  <si>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</si>
  <si>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</si>
  <si>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</si>
  <si>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</si>
  <si>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</si>
  <si>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</si>
  <si>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</si>
  <si>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</si>
  <si>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</si>
  <si>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</si>
  <si>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</si>
  <si>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</si>
  <si>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</si>
  <si>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</si>
  <si>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</si>
  <si>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</si>
  <si>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</si>
  <si>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</si>
  <si>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</si>
  <si>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</si>
  <si>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</si>
  <si>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</si>
  <si>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</si>
  <si>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</si>
  <si>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</si>
  <si>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</si>
  <si>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</si>
  <si>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</si>
  <si>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</si>
  <si>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</si>
  <si>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</si>
  <si>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</si>
  <si>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</si>
  <si>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</si>
  <si>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</si>
  <si>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</si>
  <si>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</si>
  <si>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</si>
  <si>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</si>
  <si>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</si>
  <si>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</si>
  <si>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</si>
  <si>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</si>
  <si>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</si>
  <si>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</si>
  <si>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</si>
  <si>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</si>
  <si>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</si>
  <si>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</si>
  <si>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</si>
  <si>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</si>
  <si>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</si>
  <si>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</si>
  <si>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</si>
  <si>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</si>
  <si>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</si>
  <si>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</si>
  <si>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</si>
  <si>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</si>
  <si>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</si>
  <si>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</si>
  <si>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</si>
  <si>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</si>
  <si>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</si>
  <si>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</si>
  <si>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</si>
  <si>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</si>
  <si>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</si>
  <si>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</si>
  <si>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</si>
  <si>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</si>
  <si>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</si>
  <si>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</si>
  <si>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</si>
  <si>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</si>
  <si>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</si>
  <si>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</si>
  <si>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</si>
  <si>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</si>
  <si>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</si>
  <si>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</si>
  <si>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</si>
  <si>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</si>
  <si>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</si>
  <si>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</si>
  <si>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</si>
  <si>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</si>
  <si>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</si>
  <si>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</si>
  <si>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</si>
  <si>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</si>
  <si>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</si>
  <si>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</si>
  <si>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</si>
  <si>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</si>
  <si>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</si>
  <si>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</si>
  <si>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</si>
  <si>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</si>
  <si>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</si>
  <si>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</si>
  <si>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</si>
  <si>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</si>
  <si>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</si>
  <si>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</si>
  <si>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</si>
  <si>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</si>
  <si>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</si>
  <si>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</si>
  <si>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</si>
  <si>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</si>
  <si>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</si>
  <si>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</si>
  <si>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</si>
  <si>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</si>
  <si>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</si>
  <si>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</si>
  <si>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</si>
  <si>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</si>
  <si>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</si>
  <si>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</si>
  <si>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</si>
  <si>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</si>
  <si>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</si>
  <si>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</si>
  <si>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</si>
  <si>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</si>
  <si>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</si>
  <si>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</si>
  <si>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</si>
  <si>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</si>
  <si>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</si>
  <si>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</si>
  <si>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</si>
  <si>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</si>
  <si>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</si>
  <si>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</si>
  <si>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</si>
  <si>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</si>
  <si>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</si>
  <si>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</si>
  <si>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</si>
  <si>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</si>
  <si>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</si>
  <si>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</si>
  <si>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</si>
  <si>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</si>
  <si>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</si>
  <si>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</si>
  <si>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</si>
  <si>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</si>
  <si>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</si>
  <si>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</si>
  <si>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</si>
  <si>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</si>
  <si>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</si>
  <si>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</si>
  <si>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</si>
  <si>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</si>
  <si>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</si>
  <si>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</si>
  <si>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</si>
  <si>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</si>
  <si>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</si>
  <si>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</si>
  <si>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</si>
  <si>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</si>
  <si>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</si>
  <si>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</si>
  <si>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</si>
  <si>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</si>
  <si>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</si>
  <si>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</si>
  <si>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</si>
  <si>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</si>
  <si>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</si>
  <si>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</si>
  <si>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</si>
  <si>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</si>
  <si>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</si>
  <si>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</si>
  <si>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</si>
  <si>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</si>
  <si>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</si>
  <si>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</si>
  <si>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</si>
  <si>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</si>
  <si>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</si>
  <si>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</si>
  <si>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</si>
  <si>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</si>
  <si>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</si>
  <si>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</si>
  <si>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</si>
  <si>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</si>
  <si>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</si>
  <si>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</si>
  <si>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</si>
  <si>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</si>
  <si>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</si>
  <si>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</si>
  <si>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</si>
  <si>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</si>
  <si>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</si>
  <si>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</si>
  <si>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</si>
  <si>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</si>
  <si>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</si>
  <si>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</si>
  <si>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</si>
  <si>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</si>
  <si>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</si>
  <si>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</si>
  <si>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</si>
  <si>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</si>
  <si>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</si>
  <si>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</si>
  <si>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</si>
  <si>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</si>
  <si>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</si>
  <si>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</si>
  <si>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</si>
  <si>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</si>
  <si>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</si>
  <si>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</si>
  <si>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</si>
  <si>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</si>
  <si>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</si>
  <si>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</si>
  <si>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</si>
  <si>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</si>
  <si>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</si>
  <si>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</si>
  <si>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</si>
  <si>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</si>
  <si>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</si>
  <si>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</si>
  <si>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</si>
  <si>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</si>
  <si>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</si>
  <si>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</si>
  <si>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</si>
  <si>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</si>
  <si>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</si>
  <si>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</si>
  <si>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</si>
  <si>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</si>
  <si>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</si>
  <si>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</si>
  <si>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</si>
  <si>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</si>
  <si>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</si>
  <si>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</si>
  <si>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</si>
  <si>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</si>
  <si>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</si>
  <si>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</si>
  <si>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</si>
  <si>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</si>
  <si>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</si>
  <si>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</si>
  <si>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</si>
  <si>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</si>
  <si>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</si>
  <si>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</si>
  <si>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</si>
  <si>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</si>
  <si>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</si>
  <si>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</si>
  <si>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</si>
  <si>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</si>
  <si>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</si>
  <si>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</si>
  <si>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</si>
  <si>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</si>
  <si>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</si>
  <si>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</si>
  <si>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</si>
  <si>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</si>
  <si>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</si>
  <si>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</si>
  <si>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</si>
  <si>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</si>
  <si>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</si>
  <si>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</si>
  <si>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</si>
  <si>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</si>
  <si>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</si>
  <si>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</si>
  <si>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</si>
  <si>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</si>
  <si>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</si>
  <si>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</si>
  <si>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</si>
  <si>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</si>
  <si>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</si>
  <si>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</si>
  <si>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</si>
  <si>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</si>
  <si>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</si>
  <si>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</si>
  <si>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</si>
  <si>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</si>
  <si>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</si>
  <si>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</si>
  <si>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</si>
  <si>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</si>
  <si>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</si>
  <si>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</si>
  <si>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</si>
  <si>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</si>
  <si>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</si>
  <si>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</si>
  <si>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</si>
  <si>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</si>
  <si>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</si>
  <si>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</si>
  <si>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</si>
  <si>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</si>
  <si>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</si>
  <si>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</si>
  <si>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</si>
  <si>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</si>
  <si>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</si>
  <si>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</si>
  <si>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</si>
  <si>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</si>
  <si>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</si>
  <si>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</si>
  <si>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</si>
  <si>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</si>
  <si>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</si>
  <si>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</si>
  <si>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</si>
  <si>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</si>
  <si>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</si>
  <si>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</si>
  <si>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</si>
  <si>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</si>
  <si>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</si>
  <si>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</si>
  <si>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</si>
  <si>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</si>
  <si>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</si>
  <si>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</si>
  <si>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</si>
  <si>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</si>
  <si>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</si>
  <si>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</si>
  <si>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</si>
  <si>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</si>
  <si>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</si>
  <si>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</si>
  <si>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</si>
  <si>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</si>
  <si>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</si>
  <si>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</si>
  <si>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</si>
  <si>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</si>
  <si>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</si>
  <si>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</si>
  <si>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</si>
  <si>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</si>
  <si>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</si>
  <si>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</si>
  <si>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</si>
  <si>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</si>
  <si>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</si>
  <si>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</si>
  <si>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</si>
  <si>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</si>
  <si>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</si>
  <si>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</si>
  <si>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</si>
  <si>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</si>
  <si>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</si>
  <si>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</si>
  <si>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</si>
  <si>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</si>
  <si>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</si>
  <si>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</si>
  <si>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</si>
  <si>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</si>
  <si>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</si>
  <si>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</si>
  <si>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</si>
  <si>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</si>
  <si>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</si>
  <si>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</si>
  <si>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</si>
  <si>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</si>
  <si>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</si>
  <si>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</si>
  <si>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</si>
  <si>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</si>
  <si>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</si>
  <si>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</si>
  <si>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</si>
  <si>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</si>
  <si>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</si>
  <si>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</si>
  <si>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</si>
  <si>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</si>
  <si>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</si>
  <si>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</si>
  <si>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</si>
  <si>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</si>
  <si>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</si>
  <si>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</si>
  <si>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</si>
  <si>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</si>
  <si>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</si>
  <si>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</si>
  <si>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</si>
  <si>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</si>
  <si>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</si>
  <si>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</si>
  <si>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</si>
  <si>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</si>
  <si>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</si>
  <si>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</si>
  <si>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</si>
  <si>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</si>
  <si>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</si>
  <si>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</si>
  <si>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</si>
  <si>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</si>
  <si>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</si>
  <si>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</si>
  <si>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</si>
  <si>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</si>
  <si>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</si>
  <si>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</si>
  <si>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</si>
  <si>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</si>
  <si>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</si>
  <si>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</si>
  <si>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</si>
  <si>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</si>
  <si>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</si>
  <si>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</si>
  <si>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</si>
  <si>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</si>
  <si>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</si>
  <si>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</si>
  <si>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</si>
  <si>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</si>
  <si>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</si>
  <si>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</si>
  <si>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</si>
  <si>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</si>
  <si>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</si>
  <si>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</si>
  <si>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</si>
  <si>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</si>
  <si>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</si>
  <si>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</si>
  <si>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</si>
  <si>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</si>
  <si>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</si>
  <si>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</si>
  <si>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</si>
  <si>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</si>
  <si>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</si>
  <si>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</si>
  <si>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</si>
  <si>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</si>
  <si>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</si>
  <si>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</si>
  <si>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</si>
  <si>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</si>
  <si>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</si>
  <si>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</si>
  <si>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</si>
  <si>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</si>
  <si>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</si>
  <si>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</si>
  <si>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</si>
  <si>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</si>
  <si>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</si>
  <si>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</si>
  <si>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</si>
  <si>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</si>
  <si>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</si>
  <si>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</si>
  <si>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</si>
  <si>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</si>
  <si>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</si>
  <si>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</si>
  <si>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</si>
  <si>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</si>
  <si>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</si>
  <si>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</si>
  <si>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</si>
  <si>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</si>
  <si>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</si>
  <si>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</si>
  <si>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</si>
  <si>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</si>
  <si>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</si>
  <si>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</si>
  <si>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</si>
  <si>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</si>
  <si>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</si>
  <si>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</si>
  <si>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</si>
  <si>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</si>
  <si>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</si>
  <si>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</si>
  <si>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</si>
  <si>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</si>
  <si>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</si>
  <si>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</si>
  <si>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</si>
  <si>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</si>
  <si>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</si>
  <si>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</si>
  <si>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</si>
  <si>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</si>
  <si>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</si>
  <si>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</si>
  <si>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</si>
  <si>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</si>
  <si>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</si>
  <si>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</si>
  <si>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</si>
  <si>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</si>
  <si>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</si>
  <si>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</si>
  <si>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</si>
  <si>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</si>
  <si>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</si>
  <si>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</si>
  <si>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</si>
  <si>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</si>
  <si>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</si>
  <si>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</si>
  <si>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</si>
  <si>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</si>
  <si>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</si>
  <si>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</si>
  <si>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</si>
  <si>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</si>
  <si>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</si>
  <si>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</si>
  <si>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</si>
  <si>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</si>
  <si>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</si>
  <si>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</si>
  <si>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</si>
  <si>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</si>
  <si>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</si>
  <si>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</si>
  <si>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</si>
  <si>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</si>
  <si>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</si>
  <si>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</si>
  <si>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</si>
  <si>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</si>
  <si>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</si>
  <si>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</si>
  <si>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</si>
  <si>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</si>
  <si>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</si>
  <si>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</si>
  <si>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</si>
  <si>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</si>
  <si>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</si>
  <si>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</si>
  <si>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</si>
  <si>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</si>
  <si>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</si>
  <si>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</si>
  <si>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</si>
  <si>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</si>
  <si>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</si>
  <si>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</si>
  <si>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</si>
  <si>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</si>
  <si>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</si>
  <si>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</si>
  <si>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</si>
  <si>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</si>
  <si>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</si>
  <si>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</si>
  <si>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</si>
  <si>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</si>
  <si>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</si>
  <si>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</si>
  <si>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</si>
  <si>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</si>
  <si>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</si>
  <si>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</si>
  <si>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</si>
  <si>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</si>
  <si>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</si>
  <si>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</si>
  <si>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</si>
  <si>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</si>
  <si>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</si>
  <si>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</si>
  <si>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</si>
  <si>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</si>
  <si>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</si>
  <si>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</si>
  <si>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</si>
  <si>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</si>
  <si>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</si>
  <si>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</si>
  <si>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</si>
  <si>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</si>
  <si>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</si>
  <si>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</si>
  <si>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</si>
  <si>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</si>
  <si>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</si>
  <si>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</si>
  <si>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</si>
  <si>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</si>
  <si>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</si>
  <si>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</si>
  <si>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</si>
  <si>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</si>
  <si>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</si>
  <si>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</si>
  <si>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</si>
  <si>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</si>
  <si>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</si>
  <si>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</si>
  <si>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</si>
  <si>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</si>
  <si>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</si>
  <si>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</si>
  <si>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</si>
  <si>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</si>
  <si>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</si>
  <si>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</si>
  <si>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</si>
  <si>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</si>
  <si>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</si>
  <si>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</si>
  <si>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</si>
  <si>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</si>
  <si>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</si>
  <si>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</si>
  <si>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</si>
  <si>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</si>
  <si>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</si>
  <si>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</si>
  <si>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</si>
  <si>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</si>
  <si>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</si>
  <si>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</si>
  <si>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</si>
  <si>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</si>
  <si>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</si>
  <si>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</si>
  <si>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</si>
  <si>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</si>
  <si>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</si>
  <si>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</si>
  <si>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</si>
  <si>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</si>
  <si>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</si>
  <si>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</si>
  <si>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</si>
  <si>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</si>
  <si>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</si>
  <si>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</si>
  <si>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</si>
  <si>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</si>
  <si>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</si>
  <si>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</si>
  <si>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</si>
  <si>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</si>
  <si>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</si>
  <si>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</si>
  <si>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</si>
  <si>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</si>
  <si>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</si>
  <si>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</si>
  <si>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</si>
  <si>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</si>
  <si>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</si>
  <si>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</si>
  <si>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</si>
  <si>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</si>
  <si>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</si>
  <si>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</si>
  <si>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</si>
  <si>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</si>
  <si>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</si>
  <si>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</si>
  <si>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</si>
  <si>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</si>
  <si>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</si>
  <si>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</si>
  <si>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</si>
  <si>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</si>
  <si>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</si>
  <si>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</si>
  <si>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</si>
  <si>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</si>
  <si>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</si>
  <si>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</si>
  <si>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</si>
  <si>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</si>
  <si>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</si>
  <si>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</si>
  <si>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</si>
  <si>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</si>
  <si>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</si>
  <si>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</si>
  <si>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</si>
  <si>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</si>
  <si>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</si>
  <si>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</si>
  <si>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</si>
  <si>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</si>
  <si>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</si>
  <si>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</si>
  <si>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</si>
  <si>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</si>
  <si>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</si>
  <si>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</si>
  <si>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</si>
  <si>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</si>
  <si>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</si>
  <si>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</si>
  <si>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</si>
  <si>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</si>
  <si>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</si>
  <si>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</si>
  <si>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</si>
  <si>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</si>
  <si>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</si>
  <si>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</si>
  <si>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</si>
  <si>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</si>
  <si>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</si>
  <si>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</si>
  <si>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</si>
  <si>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</si>
  <si>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</si>
  <si>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</si>
  <si>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</si>
  <si>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</si>
  <si>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</si>
  <si>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</si>
  <si>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</si>
  <si>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</si>
  <si>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</si>
  <si>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</si>
  <si>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</si>
  <si>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</si>
  <si>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</si>
  <si>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</si>
  <si>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</si>
  <si>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</si>
  <si>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</si>
  <si>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</si>
  <si>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</si>
  <si>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</si>
  <si>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</si>
  <si>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</si>
  <si>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</si>
  <si>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</si>
  <si>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</si>
  <si>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</si>
  <si>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</si>
  <si>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</si>
  <si>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</si>
  <si>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</si>
  <si>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</si>
  <si>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</si>
  <si>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</si>
  <si>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</si>
  <si>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</si>
  <si>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</si>
  <si>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</si>
  <si>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</si>
  <si>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</si>
  <si>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</si>
  <si>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</si>
  <si>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</si>
  <si>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</si>
  <si>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</si>
  <si>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</si>
  <si>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</si>
  <si>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</si>
  <si>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</si>
  <si>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</si>
  <si>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</si>
  <si>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</si>
  <si>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</si>
  <si>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</si>
  <si>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</si>
  <si>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</si>
  <si>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</si>
  <si>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</si>
  <si>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</si>
  <si>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</si>
  <si>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</si>
  <si>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</si>
  <si>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</si>
  <si>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</si>
  <si>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</si>
  <si>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</si>
  <si>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</si>
  <si>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</si>
  <si>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</si>
  <si>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</si>
  <si>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</si>
  <si>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</si>
  <si>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</si>
  <si>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</si>
  <si>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</si>
  <si>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</si>
  <si>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</si>
  <si>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</si>
  <si>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</si>
  <si>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</si>
  <si>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</si>
  <si>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</si>
  <si>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</si>
  <si>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</si>
  <si>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</si>
  <si>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</si>
  <si>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</si>
  <si>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</si>
  <si>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</si>
  <si>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</si>
  <si>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</si>
  <si>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</si>
  <si>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</si>
  <si>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</si>
  <si>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</si>
  <si>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</si>
  <si>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</si>
  <si>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</si>
  <si>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</si>
  <si>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</si>
  <si>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</si>
  <si>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</si>
  <si>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</si>
  <si>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</si>
  <si>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</si>
  <si>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</si>
  <si>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</si>
  <si>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</si>
  <si>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</si>
  <si>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</si>
  <si>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</si>
  <si>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</si>
  <si>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</si>
  <si>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</si>
  <si>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</si>
  <si>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</si>
  <si>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</si>
  <si>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</si>
  <si>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</si>
  <si>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</si>
  <si>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</si>
  <si>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</si>
  <si>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</si>
  <si>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</si>
  <si>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</si>
  <si>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</si>
  <si>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</si>
  <si>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</si>
  <si>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</si>
  <si>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</si>
  <si>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</si>
  <si>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</si>
  <si>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</si>
  <si>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</si>
  <si>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</si>
  <si>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</si>
  <si>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</si>
  <si>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</si>
  <si>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</si>
  <si>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</si>
  <si>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</si>
  <si>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</si>
  <si>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</si>
  <si>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</si>
  <si>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</si>
  <si>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</si>
  <si>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</si>
  <si>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</si>
  <si>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</si>
  <si>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</si>
  <si>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</si>
  <si>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</si>
  <si>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</si>
  <si>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</si>
  <si>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</si>
  <si>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</si>
  <si>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</si>
  <si>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</si>
  <si>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</si>
  <si>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</si>
  <si>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</si>
  <si>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</si>
  <si>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</si>
  <si>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</si>
  <si>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</si>
  <si>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</si>
  <si>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</si>
  <si>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</si>
  <si>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</si>
  <si>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</si>
  <si>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</si>
  <si>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</si>
  <si>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</si>
  <si>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</si>
  <si>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</si>
  <si>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</si>
  <si>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</si>
  <si>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</si>
  <si>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</si>
  <si>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</si>
  <si>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</si>
  <si>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</si>
  <si>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</si>
  <si>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</si>
  <si>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</si>
  <si>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</si>
  <si>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</si>
  <si>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</si>
  <si>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</si>
  <si>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</si>
  <si>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</si>
  <si>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</si>
  <si>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</si>
  <si>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</si>
  <si>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</si>
  <si>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</si>
  <si>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</si>
  <si>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</si>
  <si>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</si>
  <si>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</si>
  <si>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</si>
  <si>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</si>
  <si>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</si>
  <si>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</si>
  <si>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</si>
  <si>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</si>
  <si>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</si>
  <si>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</si>
  <si>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</si>
  <si>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</si>
  <si>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</si>
  <si>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</si>
  <si>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</si>
  <si>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</si>
  <si>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</si>
  <si>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</si>
  <si>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</si>
  <si>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</si>
  <si>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</si>
  <si>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</si>
  <si>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</si>
  <si>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</si>
  <si>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</si>
  <si>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</si>
  <si>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</si>
  <si>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</si>
  <si>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</si>
  <si>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</si>
  <si>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</si>
  <si>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</si>
  <si>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</si>
  <si>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</si>
  <si>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</si>
  <si>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</si>
  <si>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</si>
  <si>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</si>
  <si>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</si>
  <si>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</si>
  <si>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</si>
  <si>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</si>
  <si>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</si>
  <si>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</si>
  <si>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</si>
  <si>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</si>
  <si>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</si>
  <si>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</si>
  <si>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</si>
  <si>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</si>
  <si>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</si>
  <si>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</si>
  <si>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</si>
  <si>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</si>
  <si>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</si>
  <si>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</si>
  <si>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</si>
  <si>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</si>
  <si>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</si>
  <si>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</si>
  <si>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</si>
  <si>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</si>
  <si>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</si>
  <si>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</si>
  <si>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</si>
  <si>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</si>
  <si>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</si>
  <si>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</si>
  <si>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</si>
  <si>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</si>
  <si>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</si>
  <si>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</si>
  <si>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</si>
  <si>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</si>
  <si>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</si>
  <si>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</si>
  <si>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</si>
  <si>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</si>
  <si>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</si>
  <si>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</si>
  <si>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</si>
  <si>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</si>
  <si>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</si>
  <si>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</si>
  <si>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</si>
  <si>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</si>
  <si>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</si>
  <si>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</si>
  <si>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</si>
  <si>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</si>
  <si>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</si>
  <si>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</si>
  <si>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</si>
  <si>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</si>
  <si>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</si>
  <si>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</si>
  <si>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</si>
  <si>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</si>
  <si>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</si>
  <si>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</si>
  <si>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</si>
  <si>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</si>
  <si>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</si>
  <si>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</si>
  <si>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</si>
  <si>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</si>
  <si>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</si>
  <si>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</si>
  <si>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</si>
  <si>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</si>
  <si>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</si>
  <si>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</si>
  <si>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</si>
  <si>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</si>
  <si>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</si>
  <si>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</si>
  <si>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</si>
  <si>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</si>
  <si>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</si>
  <si>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</si>
  <si>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</si>
  <si>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</si>
  <si>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</si>
  <si>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</si>
  <si>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</si>
  <si>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</si>
  <si>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</si>
  <si>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</si>
  <si>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</si>
  <si>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</si>
  <si>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</si>
  <si>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</si>
  <si>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</si>
  <si>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</si>
  <si>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</si>
  <si>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</si>
  <si>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</si>
  <si>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</si>
  <si>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</si>
  <si>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</si>
  <si>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</si>
  <si>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</si>
  <si>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</si>
  <si>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</si>
  <si>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</si>
  <si>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</si>
  <si>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</si>
  <si>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</si>
  <si>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</si>
  <si>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</si>
  <si>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</si>
  <si>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</si>
  <si>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</si>
  <si>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</si>
  <si>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</si>
  <si>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</si>
  <si>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</si>
  <si>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</si>
  <si>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</si>
  <si>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</si>
  <si>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</si>
  <si>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</si>
  <si>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</si>
  <si>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</si>
  <si>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</si>
  <si>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</si>
  <si>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</si>
  <si>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</si>
  <si>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</si>
  <si>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</si>
  <si>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</si>
  <si>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</si>
  <si>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</si>
  <si>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</si>
  <si>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</si>
  <si>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</si>
  <si>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</si>
  <si>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</si>
  <si>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</si>
  <si>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</si>
  <si>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</si>
  <si>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</si>
  <si>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</si>
  <si>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</si>
  <si>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</si>
  <si>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</si>
  <si>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</si>
  <si>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</si>
  <si>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</si>
  <si>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</si>
  <si>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</si>
  <si>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</si>
  <si>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</si>
  <si>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</si>
  <si>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</si>
  <si>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</si>
  <si>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</si>
  <si>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</si>
  <si>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</si>
  <si>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</si>
  <si>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</si>
  <si>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</si>
  <si>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</si>
  <si>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</si>
  <si>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</si>
  <si>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</si>
  <si>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</si>
  <si>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</si>
  <si>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</si>
  <si>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</si>
  <si>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</si>
  <si>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</si>
  <si>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</si>
  <si>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</si>
  <si>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</si>
  <si>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</si>
  <si>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</si>
  <si>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</si>
  <si>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</si>
  <si>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</si>
  <si>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</si>
  <si>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</si>
  <si>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</si>
  <si>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</si>
  <si>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</si>
  <si>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</si>
  <si>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</si>
  <si>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</si>
  <si>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</si>
  <si>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</si>
  <si>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</si>
  <si>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</si>
  <si>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</si>
  <si>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</si>
  <si>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</si>
  <si>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</si>
  <si>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</si>
  <si>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</si>
  <si>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</si>
  <si>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</si>
  <si>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</si>
  <si>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</si>
  <si>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</si>
  <si>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</si>
  <si>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</si>
  <si>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</si>
  <si>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</si>
  <si>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</si>
  <si>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</si>
  <si>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</si>
  <si>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</si>
  <si>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</si>
  <si>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</si>
  <si>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</si>
  <si>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</si>
  <si>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</si>
  <si>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</si>
  <si>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</si>
  <si>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</si>
  <si>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</si>
  <si>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</si>
  <si>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</si>
  <si>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</si>
  <si>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</si>
  <si>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</si>
  <si>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</si>
  <si>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</si>
  <si>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</si>
  <si>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</si>
  <si>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</si>
  <si>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</si>
  <si>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</si>
  <si>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</si>
  <si>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</si>
  <si>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</si>
  <si>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</si>
  <si>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</si>
  <si>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</si>
  <si>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</si>
  <si>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</si>
  <si>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</si>
  <si>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</si>
  <si>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</si>
  <si>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</si>
  <si>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</si>
  <si>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</si>
  <si>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</si>
  <si>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</si>
  <si>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</si>
  <si>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</si>
  <si>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</si>
  <si>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</si>
  <si>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</si>
  <si>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</si>
  <si>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</si>
  <si>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</si>
  <si>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</si>
  <si>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</si>
  <si>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</si>
  <si>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</si>
  <si>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</si>
  <si>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</si>
  <si>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</si>
  <si>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</si>
  <si>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</si>
  <si>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</si>
  <si>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</si>
  <si>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</si>
  <si>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</si>
  <si>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</si>
  <si>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</si>
  <si>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</si>
  <si>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</si>
  <si>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</si>
  <si>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</si>
  <si>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</si>
  <si>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</si>
  <si>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</si>
  <si>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</si>
  <si>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</si>
  <si>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</si>
  <si>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</si>
  <si>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</si>
  <si>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</si>
  <si>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</si>
  <si>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</si>
  <si>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</si>
  <si>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</si>
  <si>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</si>
  <si>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</si>
  <si>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</si>
  <si>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</si>
  <si>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</si>
  <si>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</si>
  <si>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</si>
  <si>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</si>
  <si>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</si>
  <si>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</si>
  <si>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</si>
  <si>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</si>
  <si>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</si>
  <si>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</si>
  <si>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</si>
  <si>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</si>
  <si>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</si>
  <si>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</si>
  <si>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</si>
  <si>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</si>
  <si>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</si>
  <si>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</si>
  <si>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</si>
  <si>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</si>
  <si>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</si>
  <si>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</si>
  <si>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</si>
  <si>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</si>
  <si>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</si>
  <si>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</si>
  <si>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</si>
  <si>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</si>
  <si>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</si>
  <si>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</si>
  <si>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</si>
  <si>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</si>
  <si>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</si>
  <si>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</si>
  <si>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</si>
  <si>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</si>
  <si>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</si>
  <si>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</si>
  <si>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</si>
  <si>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</si>
  <si>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</si>
  <si>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</si>
  <si>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</si>
  <si>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</si>
  <si>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</si>
  <si>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</si>
  <si>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</si>
  <si>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</si>
  <si>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</si>
  <si>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</si>
  <si>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</si>
  <si>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</si>
  <si>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</si>
  <si>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</si>
  <si>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</si>
  <si>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</si>
  <si>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</si>
  <si>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</si>
  <si>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</si>
  <si>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</si>
  <si>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</si>
  <si>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</si>
  <si>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</si>
  <si>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</si>
  <si>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</si>
  <si>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</si>
  <si>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</si>
  <si>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</si>
  <si>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</si>
  <si>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</si>
  <si>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</si>
  <si>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</si>
  <si>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</si>
  <si>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</si>
  <si>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</si>
  <si>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</si>
  <si>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</si>
  <si>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</si>
  <si>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</si>
  <si>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</si>
  <si>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</si>
  <si>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</si>
  <si>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</si>
  <si>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</si>
  <si>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</si>
  <si>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</si>
  <si>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</si>
  <si>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</si>
  <si>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</si>
  <si>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</si>
  <si>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</si>
  <si>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</si>
  <si>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</si>
  <si>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</si>
  <si>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</si>
  <si>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</si>
  <si>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</si>
  <si>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</si>
  <si>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</si>
  <si>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</si>
  <si>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</si>
  <si>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</si>
  <si>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</si>
  <si>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</si>
  <si>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</si>
  <si>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</si>
  <si>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</si>
  <si>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</si>
  <si>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</si>
  <si>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</si>
  <si>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</si>
  <si>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</si>
  <si>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</si>
  <si>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</si>
  <si>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</si>
  <si>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</si>
  <si>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</si>
  <si>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</si>
  <si>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</si>
  <si>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</si>
  <si>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</si>
  <si>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</si>
  <si>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</si>
  <si>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</si>
  <si>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</si>
  <si>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</si>
  <si>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</si>
  <si>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</si>
  <si>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</si>
  <si>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</si>
  <si>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</si>
  <si>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</si>
  <si>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</si>
  <si>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</si>
  <si>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</si>
  <si>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</si>
  <si>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</si>
  <si>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</si>
  <si>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</si>
  <si>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</si>
  <si>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</si>
  <si>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</si>
  <si>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</si>
  <si>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</si>
  <si>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</si>
  <si>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</si>
  <si>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</si>
  <si>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</si>
  <si>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</si>
  <si>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</si>
  <si>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</si>
  <si>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</si>
  <si>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</si>
  <si>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</si>
  <si>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</si>
  <si>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</si>
  <si>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</si>
  <si>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</si>
  <si>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</si>
  <si>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</si>
  <si>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</si>
  <si>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</si>
  <si>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</si>
  <si>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</si>
  <si>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</si>
  <si>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</si>
  <si>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</si>
  <si>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</si>
  <si>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</si>
  <si>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</si>
  <si>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</si>
  <si>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</si>
  <si>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</si>
  <si>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</si>
  <si>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</si>
  <si>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</si>
  <si>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</si>
  <si>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</si>
  <si>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</si>
  <si>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</si>
  <si>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</si>
  <si>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</si>
  <si>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</si>
  <si>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</si>
  <si>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</si>
  <si>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</si>
  <si>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</si>
  <si>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</si>
  <si>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</si>
  <si>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</si>
  <si>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</si>
  <si>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</si>
  <si>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</si>
  <si>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</si>
  <si>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</si>
  <si>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</si>
  <si>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</si>
  <si>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</si>
  <si>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</si>
  <si>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</si>
  <si>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</si>
  <si>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</si>
  <si>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</si>
  <si>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</si>
  <si>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</si>
  <si>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</si>
  <si>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</si>
  <si>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</si>
  <si>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</si>
  <si>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</si>
  <si>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</si>
  <si>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</si>
  <si>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</si>
  <si>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</si>
  <si>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</si>
  <si>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</si>
  <si>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</si>
  <si>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</si>
  <si>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</si>
  <si>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</si>
  <si>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</si>
  <si>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</si>
  <si>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</si>
  <si>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</si>
  <si>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</si>
  <si>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</si>
  <si>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</si>
  <si>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</si>
  <si>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</si>
  <si>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</si>
  <si>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</si>
  <si>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</si>
  <si>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</si>
  <si>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</si>
  <si>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</si>
  <si>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</si>
  <si>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</si>
  <si>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</si>
  <si>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</si>
  <si>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</si>
  <si>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</si>
  <si>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</si>
  <si>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</si>
  <si>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</si>
  <si>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</si>
  <si>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</si>
  <si>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</si>
  <si>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</si>
  <si>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</si>
  <si>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</si>
  <si>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</si>
  <si>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</si>
  <si>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</si>
  <si>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</si>
  <si>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</si>
  <si>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</si>
  <si>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</si>
  <si>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</si>
  <si>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</si>
  <si>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</si>
  <si>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</si>
  <si>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</si>
  <si>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</si>
  <si>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</si>
  <si>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</si>
  <si>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</si>
  <si>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</si>
  <si>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</si>
  <si>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</si>
  <si>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</si>
  <si>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</si>
  <si>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</si>
  <si>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</si>
  <si>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</si>
  <si>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</si>
  <si>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</si>
  <si>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</si>
  <si>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</si>
  <si>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</si>
  <si>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</si>
  <si>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</si>
  <si>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</si>
  <si>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</si>
  <si>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</si>
  <si>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</si>
  <si>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</si>
  <si>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</si>
  <si>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</si>
  <si>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</si>
  <si>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</si>
  <si>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</si>
  <si>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</si>
  <si>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</si>
  <si>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</si>
  <si>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</si>
  <si>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</si>
  <si>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</si>
  <si>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</si>
  <si>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</si>
  <si>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</si>
  <si>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</si>
  <si>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</si>
  <si>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</si>
  <si>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</si>
  <si>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</si>
  <si>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</si>
  <si>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</si>
  <si>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</si>
  <si>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</si>
  <si>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</si>
  <si>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</si>
  <si>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</si>
  <si>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</si>
  <si>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</si>
  <si>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</si>
  <si>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</si>
  <si>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</si>
  <si>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</si>
  <si>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</si>
  <si>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</si>
  <si>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</si>
  <si>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</si>
  <si>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</si>
  <si>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</si>
  <si>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</si>
  <si>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</si>
  <si>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</si>
  <si>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</si>
  <si>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</si>
  <si>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</si>
  <si>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</si>
  <si>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</si>
  <si>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</si>
  <si>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</si>
  <si>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</si>
  <si>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</si>
  <si>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</si>
  <si>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</si>
  <si>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</si>
  <si>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</si>
  <si>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</si>
  <si>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</si>
  <si>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</si>
  <si>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</si>
  <si>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</si>
  <si>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</si>
  <si>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</si>
  <si>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</si>
  <si>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</si>
  <si>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</si>
  <si>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</si>
  <si>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</si>
  <si>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</si>
  <si>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</si>
  <si>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</si>
  <si>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</si>
  <si>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</si>
  <si>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</si>
  <si>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</si>
  <si>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</si>
  <si>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</si>
  <si>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</si>
  <si>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</si>
  <si>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</si>
  <si>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</si>
  <si>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</si>
  <si>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</si>
  <si>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</si>
  <si>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</si>
  <si>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</si>
  <si>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</si>
  <si>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</si>
  <si>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</si>
  <si>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</si>
  <si>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</si>
  <si>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</si>
  <si>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</si>
  <si>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</si>
  <si>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</si>
  <si>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</si>
  <si>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</si>
  <si>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</si>
  <si>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</si>
  <si>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</si>
  <si>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</si>
  <si>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</si>
  <si>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</si>
  <si>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</si>
  <si>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</si>
  <si>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</si>
  <si>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</si>
  <si>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</si>
  <si>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</si>
  <si>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</si>
  <si>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</si>
  <si>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</si>
  <si>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</si>
  <si>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</si>
  <si>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</si>
  <si>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</si>
  <si>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</si>
  <si>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</si>
  <si>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</si>
  <si>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</si>
  <si>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</si>
  <si>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</si>
  <si>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</si>
  <si>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</si>
  <si>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</si>
  <si>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</si>
  <si>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</si>
  <si>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</si>
  <si>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</si>
  <si>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</si>
  <si>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</si>
  <si>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</si>
  <si>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</si>
  <si>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</si>
  <si>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</si>
  <si>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</si>
  <si>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</si>
  <si>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</si>
  <si>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</si>
  <si>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</si>
  <si>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</si>
  <si>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</si>
  <si>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</si>
  <si>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</si>
  <si>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</si>
  <si>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</si>
  <si>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</si>
  <si>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</si>
  <si>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</si>
  <si>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</si>
  <si>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</si>
  <si>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</si>
  <si>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</si>
  <si>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</si>
  <si>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</si>
  <si>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</si>
  <si>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</si>
  <si>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</si>
  <si>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</si>
  <si>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</si>
  <si>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</si>
  <si>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</si>
  <si>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</si>
  <si>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</si>
  <si>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</si>
  <si>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</si>
  <si>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</si>
  <si>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</si>
  <si>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</si>
  <si>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</si>
  <si>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</si>
  <si>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</si>
  <si>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</si>
  <si>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</si>
  <si>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</si>
  <si>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</si>
  <si>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</si>
  <si>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</si>
  <si>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</si>
  <si>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</si>
  <si>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</si>
  <si>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</si>
  <si>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</si>
  <si>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</si>
  <si>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</si>
  <si>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</si>
  <si>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</si>
  <si>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</si>
  <si>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</si>
  <si>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</si>
  <si>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</si>
  <si>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</si>
  <si>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</si>
  <si>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</si>
  <si>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</si>
  <si>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</si>
  <si>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</si>
  <si>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</si>
  <si>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</si>
  <si>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</si>
  <si>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</si>
  <si>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</si>
  <si>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</si>
  <si>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</si>
  <si>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</si>
  <si>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</si>
  <si>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</si>
  <si>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</si>
  <si>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</si>
  <si>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</si>
  <si>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</si>
  <si>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</si>
  <si>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</si>
  <si>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</si>
  <si>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</si>
  <si>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</si>
  <si>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</si>
  <si>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</si>
  <si>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</si>
  <si>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</si>
  <si>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</si>
  <si>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</si>
  <si>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</si>
  <si>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</si>
  <si>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</si>
  <si>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</si>
  <si>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</si>
  <si>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</si>
  <si>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</si>
  <si>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</si>
  <si>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</si>
  <si>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</si>
  <si>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</si>
  <si>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</si>
  <si>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</si>
  <si>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</si>
  <si>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</si>
  <si>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</si>
  <si>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</si>
  <si>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</si>
  <si>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</si>
  <si>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</si>
  <si>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</si>
  <si>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</si>
  <si>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</si>
  <si>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</si>
  <si>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</si>
  <si>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</si>
  <si>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</si>
  <si>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</si>
  <si>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</si>
  <si>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</si>
  <si>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</si>
  <si>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</si>
  <si>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</si>
  <si>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</si>
  <si>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</si>
  <si>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</si>
  <si>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</si>
  <si>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</si>
  <si>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</si>
  <si>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</si>
  <si>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</si>
  <si>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</si>
  <si>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</si>
  <si>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</si>
  <si>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</si>
  <si>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</si>
  <si>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</si>
  <si>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</si>
  <si>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</si>
  <si>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</si>
  <si>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</si>
  <si>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</si>
  <si>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</si>
  <si>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</si>
  <si>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</si>
  <si>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</si>
  <si>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</si>
  <si>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</si>
  <si>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</si>
  <si>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</si>
  <si>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</si>
  <si>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</si>
  <si>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</si>
  <si>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</si>
  <si>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</si>
  <si>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</si>
  <si>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</si>
  <si>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</si>
  <si>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</si>
  <si>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</si>
  <si>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</si>
  <si>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</si>
  <si>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</si>
  <si>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</si>
  <si>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</si>
  <si>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</si>
  <si>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</si>
  <si>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</si>
  <si>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</si>
  <si>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</si>
  <si>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</si>
  <si>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</si>
  <si>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</si>
  <si>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</si>
  <si>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</si>
  <si>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</si>
  <si>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</si>
  <si>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</si>
  <si>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</si>
  <si>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</si>
  <si>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</si>
  <si>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</si>
  <si>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</si>
  <si>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</si>
  <si>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</si>
  <si>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</si>
  <si>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</si>
  <si>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</si>
  <si>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</si>
  <si>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</si>
  <si>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</si>
  <si>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</si>
  <si>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</si>
  <si>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</si>
  <si>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</si>
  <si>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</si>
  <si>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</si>
  <si>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</si>
  <si>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</si>
  <si>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</si>
  <si>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</si>
  <si>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</si>
  <si>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</si>
  <si>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</si>
  <si>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</si>
  <si>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</si>
  <si>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</si>
  <si>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</si>
  <si>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</si>
  <si>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</si>
  <si>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</si>
  <si>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</si>
  <si>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</si>
  <si>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</si>
  <si>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</si>
  <si>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</si>
  <si>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</si>
  <si>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</si>
  <si>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</si>
  <si>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</si>
  <si>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</si>
  <si>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</si>
  <si>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</si>
  <si>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</si>
  <si>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</si>
  <si>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</si>
  <si>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</si>
  <si>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</si>
  <si>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</si>
  <si>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</si>
  <si>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</si>
  <si>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</si>
  <si>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</si>
  <si>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</si>
  <si>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</si>
  <si>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</si>
  <si>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</si>
  <si>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</si>
  <si>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</si>
  <si>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</si>
  <si>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</si>
  <si>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</si>
  <si>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</si>
  <si>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</si>
  <si>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</si>
  <si>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</si>
  <si>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</si>
  <si>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</si>
  <si>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</si>
  <si>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</si>
  <si>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</si>
  <si>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</si>
  <si>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</si>
  <si>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</si>
  <si>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</si>
  <si>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</si>
  <si>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</si>
  <si>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</si>
  <si>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</si>
  <si>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</si>
  <si>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</si>
  <si>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</si>
  <si>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</si>
  <si>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</si>
  <si>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</si>
  <si>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</si>
  <si>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</si>
  <si>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</si>
  <si>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</si>
  <si>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</si>
  <si>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</si>
  <si>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</si>
  <si>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</si>
  <si>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</si>
  <si>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</si>
  <si>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</si>
  <si>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</si>
  <si>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</si>
  <si>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</si>
  <si>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</si>
  <si>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</si>
  <si>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</si>
  <si>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</si>
  <si>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</si>
  <si>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</si>
  <si>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</si>
  <si>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</si>
  <si>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</si>
  <si>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</si>
  <si>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</si>
  <si>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</si>
  <si>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</si>
  <si>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</si>
  <si>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</si>
  <si>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</si>
  <si>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</si>
  <si>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</si>
  <si>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</si>
  <si>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</si>
  <si>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</si>
  <si>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</si>
  <si>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</si>
  <si>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</si>
  <si>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</si>
  <si>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</si>
  <si>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</si>
  <si>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</si>
  <si>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</si>
  <si>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</si>
  <si>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</si>
  <si>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</si>
  <si>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</si>
  <si>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</si>
  <si>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</si>
  <si>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</si>
  <si>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</si>
  <si>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</si>
  <si>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</si>
  <si>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</si>
  <si>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</si>
  <si>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</si>
  <si>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</si>
  <si>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</si>
  <si>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</si>
  <si>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</si>
  <si>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</si>
  <si>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</si>
  <si>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</si>
  <si>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</si>
  <si>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</si>
  <si>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</si>
  <si>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</si>
  <si>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</si>
  <si>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</si>
  <si>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</si>
  <si>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</si>
  <si>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</si>
  <si>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</si>
  <si>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</si>
  <si>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</si>
  <si>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</si>
  <si>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</si>
  <si>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</si>
  <si>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</si>
  <si>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</si>
  <si>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</si>
  <si>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</si>
  <si>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</si>
  <si>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</si>
  <si>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</si>
  <si>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</si>
  <si>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</si>
  <si>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</si>
  <si>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</si>
  <si>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</si>
  <si>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</si>
  <si>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</si>
  <si>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</si>
  <si>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</si>
  <si>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</si>
  <si>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</si>
  <si>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</si>
  <si>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</si>
  <si>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</si>
  <si>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</si>
  <si>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</si>
  <si>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</si>
  <si>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</si>
  <si>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</si>
  <si>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</si>
  <si>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</si>
  <si>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</si>
  <si>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</si>
  <si>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</si>
  <si>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</si>
  <si>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</si>
  <si>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</si>
  <si>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</si>
  <si>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</si>
  <si>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</si>
  <si>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</si>
  <si>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</si>
  <si>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</si>
  <si>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</si>
  <si>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</si>
  <si>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</si>
  <si>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</si>
  <si>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</si>
  <si>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</si>
  <si>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</si>
  <si>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</si>
  <si>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</si>
  <si>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</si>
  <si>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</si>
  <si>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</si>
  <si>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</si>
  <si>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</si>
  <si>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</si>
  <si>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</si>
  <si>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</si>
  <si>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</si>
  <si>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</si>
  <si>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</si>
  <si>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</si>
  <si>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</si>
  <si>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</si>
  <si>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</si>
  <si>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</si>
  <si>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</si>
  <si>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</si>
  <si>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</si>
  <si>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</si>
  <si>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</si>
  <si>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</si>
  <si>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</si>
  <si>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</si>
  <si>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</si>
  <si>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</si>
  <si>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</si>
  <si>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</si>
  <si>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</si>
  <si>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</si>
  <si>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</si>
  <si>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</si>
  <si>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</si>
  <si>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</si>
  <si>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</si>
  <si>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</si>
  <si>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</si>
  <si>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</si>
  <si>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</si>
  <si>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</si>
  <si>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</si>
  <si>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</si>
  <si>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</si>
  <si>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</si>
  <si>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</si>
  <si>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</si>
  <si>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</si>
  <si>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</si>
  <si>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</si>
  <si>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</si>
  <si>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</si>
  <si>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</si>
  <si>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</si>
  <si>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</si>
  <si>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</si>
  <si>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</si>
  <si>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</si>
  <si>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</si>
  <si>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</si>
  <si>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</si>
  <si>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</si>
  <si>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</si>
  <si>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</si>
  <si>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</si>
  <si>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</si>
  <si>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</si>
  <si>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</si>
  <si>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</si>
  <si>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</si>
  <si>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</si>
  <si>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</si>
  <si>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</si>
  <si>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</si>
  <si>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</si>
  <si>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</si>
  <si>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</si>
  <si>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</si>
  <si>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</si>
  <si>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</si>
  <si>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</si>
  <si>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</si>
  <si>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</si>
  <si>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</si>
  <si>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</si>
  <si>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</si>
  <si>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</si>
  <si>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</si>
  <si>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</si>
  <si>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</si>
  <si>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</si>
  <si>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</si>
  <si>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</si>
  <si>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</si>
  <si>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</si>
  <si>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</si>
  <si>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</si>
  <si>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</si>
  <si>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</si>
  <si>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</si>
  <si>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</si>
  <si>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</si>
  <si>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</si>
  <si>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</si>
  <si>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</si>
  <si>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</si>
  <si>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</si>
  <si>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</si>
  <si>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</si>
  <si>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</si>
  <si>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</si>
  <si>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</si>
  <si>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</si>
  <si>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</si>
  <si>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</si>
  <si>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</si>
  <si>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</si>
  <si>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</si>
  <si>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</si>
  <si>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</si>
  <si>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</si>
  <si>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</si>
  <si>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</si>
  <si>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</si>
  <si>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</si>
  <si>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</si>
  <si>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</si>
  <si>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</si>
  <si>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</si>
  <si>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</si>
  <si>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</si>
  <si>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</si>
  <si>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</si>
  <si>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</si>
  <si>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</si>
  <si>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</si>
  <si>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</si>
  <si>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</si>
  <si>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</si>
  <si>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</si>
  <si>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</si>
  <si>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</si>
  <si>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</si>
  <si>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</si>
  <si>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</si>
  <si>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</si>
  <si>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</si>
  <si>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</si>
  <si>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</si>
  <si>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</si>
  <si>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</si>
  <si>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</si>
  <si>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</si>
  <si>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</si>
  <si>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</si>
  <si>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</si>
  <si>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</si>
  <si>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</si>
  <si>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</si>
  <si>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</si>
  <si>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</si>
  <si>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</si>
  <si>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</si>
  <si>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</si>
  <si>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</si>
  <si>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</si>
  <si>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</si>
  <si>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</si>
  <si>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</si>
  <si>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</si>
  <si>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</si>
  <si>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</si>
  <si>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</si>
  <si>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</si>
  <si>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</si>
  <si>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</si>
  <si>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</si>
  <si>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</si>
  <si>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</si>
  <si>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</si>
  <si>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</si>
  <si>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</si>
  <si>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</si>
  <si>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</si>
  <si>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</si>
  <si>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</si>
  <si>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</si>
  <si>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</si>
  <si>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</si>
  <si>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</si>
  <si>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</si>
  <si>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</si>
  <si>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</si>
  <si>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</si>
  <si>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</si>
  <si>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</si>
  <si>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</si>
  <si>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</si>
  <si>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</si>
  <si>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</si>
  <si>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</si>
  <si>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</si>
  <si>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</si>
  <si>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</si>
  <si>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</si>
  <si>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</si>
  <si>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</si>
  <si>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</si>
  <si>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</si>
  <si>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</si>
  <si>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</si>
  <si>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</si>
  <si>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</si>
  <si>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</si>
  <si>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</si>
  <si>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</si>
  <si>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</si>
  <si>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</si>
  <si>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</si>
  <si>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</si>
  <si>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</si>
  <si>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</si>
  <si>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</si>
  <si>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</si>
  <si>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</si>
  <si>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</si>
  <si>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</si>
  <si>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</si>
  <si>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</si>
  <si>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</si>
  <si>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</si>
  <si>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</si>
  <si>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</si>
  <si>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</si>
  <si>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</si>
  <si>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</si>
  <si>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</si>
  <si>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</si>
  <si>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</si>
  <si>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</si>
  <si>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</si>
  <si>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</si>
  <si>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</si>
  <si>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</si>
  <si>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</si>
  <si>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</si>
  <si>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</si>
  <si>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</si>
  <si>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</si>
  <si>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</si>
  <si>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</si>
  <si>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</si>
  <si>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</si>
  <si>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</si>
  <si>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</si>
  <si>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</si>
  <si>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</si>
  <si>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</si>
  <si>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</si>
  <si>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</si>
  <si>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</si>
  <si>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</si>
  <si>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</si>
  <si>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</si>
  <si>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</si>
  <si>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</si>
  <si>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</si>
  <si>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</si>
  <si>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</si>
  <si>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</si>
  <si>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</si>
  <si>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</si>
  <si>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</si>
  <si>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</si>
  <si>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</si>
  <si>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</si>
  <si>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</si>
  <si>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</si>
  <si>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</si>
  <si>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</si>
  <si>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</si>
  <si>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</si>
  <si>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</si>
  <si>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</si>
  <si>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</si>
  <si>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</si>
  <si>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</si>
  <si>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</si>
  <si>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</si>
  <si>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</si>
  <si>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</si>
  <si>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</si>
  <si>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</si>
  <si>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</si>
  <si>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</si>
  <si>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</si>
  <si>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</si>
  <si>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</si>
  <si>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</si>
  <si>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</si>
  <si>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</si>
  <si>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</si>
  <si>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</si>
  <si>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</si>
  <si>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</si>
  <si>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</si>
  <si>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</si>
  <si>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</si>
  <si>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</si>
  <si>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</si>
  <si>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</si>
  <si>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</si>
  <si>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</si>
  <si>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</si>
  <si>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</si>
  <si>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</si>
  <si>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</si>
  <si>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</si>
  <si>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</si>
  <si>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</si>
  <si>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</si>
  <si>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</si>
  <si>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</si>
  <si>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</si>
  <si>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</si>
  <si>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</si>
  <si>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</si>
  <si>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</si>
  <si>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</si>
  <si>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</si>
  <si>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</si>
  <si>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</si>
  <si>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</si>
  <si>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</si>
  <si>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</si>
  <si>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</si>
  <si>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</si>
  <si>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</si>
  <si>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</si>
  <si>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</si>
  <si>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</si>
  <si>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</si>
  <si>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</si>
  <si>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</si>
  <si>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</si>
  <si>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</si>
  <si>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</si>
  <si>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</si>
  <si>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</si>
  <si>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</si>
  <si>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</si>
  <si>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</si>
  <si>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</si>
  <si>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</si>
  <si>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</si>
  <si>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</si>
  <si>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</si>
  <si>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</si>
  <si>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</si>
  <si>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</si>
  <si>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</si>
  <si>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</si>
  <si>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</si>
  <si>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</si>
  <si>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</si>
  <si>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</si>
  <si>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</si>
  <si>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</si>
  <si>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</si>
  <si>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</si>
  <si>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</si>
  <si>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</si>
  <si>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</si>
  <si>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</si>
  <si>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</si>
  <si>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</si>
  <si>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</si>
  <si>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</si>
  <si>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</si>
  <si>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</si>
  <si>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</si>
  <si>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</si>
  <si>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</si>
  <si>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</si>
  <si>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</si>
  <si>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</si>
  <si>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</si>
  <si>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</si>
  <si>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</si>
  <si>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</si>
  <si>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</si>
  <si>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</si>
  <si>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</si>
  <si>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</si>
  <si>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</si>
  <si>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</si>
  <si>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</si>
  <si>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</si>
  <si>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</si>
  <si>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</si>
  <si>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</si>
  <si>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</si>
  <si>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</si>
  <si>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</si>
  <si>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</si>
  <si>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</si>
  <si>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</si>
  <si>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</si>
  <si>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</si>
  <si>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</si>
  <si>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</si>
  <si>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</si>
  <si>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</si>
  <si>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</si>
  <si>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</si>
  <si>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</si>
  <si>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</si>
  <si>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</si>
  <si>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</si>
  <si>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</si>
  <si>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</si>
  <si>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</si>
  <si>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</si>
  <si>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</si>
  <si>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</si>
  <si>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</si>
  <si>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</si>
  <si>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</si>
  <si>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</si>
  <si>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</si>
  <si>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</si>
  <si>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</si>
  <si>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</si>
  <si>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</si>
  <si>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</si>
  <si>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</si>
  <si>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</si>
  <si>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</si>
  <si>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</si>
  <si>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</si>
  <si>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</si>
  <si>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</si>
  <si>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</si>
  <si>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</si>
  <si>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</si>
  <si>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</si>
  <si>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</si>
  <si>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</si>
  <si>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</si>
  <si>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</si>
  <si>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</si>
  <si>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</si>
  <si>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</si>
  <si>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</si>
  <si>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</si>
  <si>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</si>
  <si>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</si>
  <si>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</si>
  <si>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</si>
  <si>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</si>
  <si>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</si>
  <si>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</si>
  <si>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</si>
  <si>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</si>
  <si>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</si>
  <si>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</si>
  <si>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</si>
  <si>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</si>
  <si>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</si>
  <si>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</si>
  <si>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</si>
  <si>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</si>
  <si>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</si>
  <si>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</si>
  <si>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</si>
  <si>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</si>
  <si>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</si>
  <si>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</si>
  <si>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</si>
  <si>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</si>
  <si>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</si>
  <si>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</si>
  <si>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</si>
  <si>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</si>
  <si>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</si>
  <si>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</si>
  <si>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</si>
  <si>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</si>
  <si>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</si>
  <si>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</si>
  <si>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</si>
  <si>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</si>
  <si>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</si>
  <si>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</si>
  <si>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</si>
  <si>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</si>
  <si>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</si>
  <si>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</si>
  <si>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</si>
  <si>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</si>
  <si>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</si>
  <si>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</si>
  <si>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</si>
  <si>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</si>
  <si>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</si>
  <si>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</si>
  <si>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</si>
  <si>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</si>
  <si>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</si>
  <si>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</si>
  <si>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</si>
  <si>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</si>
  <si>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</si>
  <si>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</si>
  <si>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</si>
  <si>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</si>
  <si>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</si>
  <si>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</si>
  <si>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</si>
  <si>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</si>
  <si>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</si>
  <si>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</si>
  <si>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</si>
  <si>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</si>
  <si>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</si>
  <si>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</si>
  <si>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</si>
  <si>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</si>
  <si>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</si>
  <si>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</si>
  <si>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</si>
  <si>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</si>
  <si>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</si>
  <si>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</si>
  <si>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</si>
  <si>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</si>
  <si>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</si>
  <si>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</si>
  <si>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</si>
  <si>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</si>
  <si>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</si>
  <si>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</si>
  <si>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</si>
  <si>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</si>
  <si>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</si>
  <si>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</si>
  <si>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</si>
  <si>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</si>
  <si>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</si>
  <si>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</si>
  <si>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</si>
  <si>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</si>
  <si>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</si>
  <si>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</si>
  <si>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</si>
  <si>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</si>
  <si>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</si>
  <si>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</si>
  <si>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</si>
  <si>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</si>
  <si>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</si>
  <si>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</si>
  <si>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</si>
  <si>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</si>
  <si>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</si>
  <si>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</si>
  <si>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</si>
  <si>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</si>
  <si>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</si>
  <si>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</si>
  <si>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</si>
  <si>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</si>
  <si>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</si>
  <si>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</si>
  <si>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</si>
  <si>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</si>
  <si>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</si>
  <si>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</si>
  <si>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</si>
  <si>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</si>
  <si>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</si>
  <si>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</si>
  <si>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</si>
  <si>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</si>
  <si>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</si>
  <si>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</si>
  <si>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</si>
  <si>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</si>
  <si>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</si>
  <si>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</si>
  <si>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</si>
  <si>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</si>
  <si>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</si>
  <si>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</si>
  <si>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</si>
  <si>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</si>
  <si>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</si>
  <si>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</si>
  <si>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</si>
  <si>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</si>
  <si>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</si>
  <si>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</si>
  <si>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</si>
  <si>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</si>
  <si>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</si>
  <si>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</si>
  <si>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</si>
  <si>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</si>
  <si>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</si>
  <si>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</si>
  <si>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</si>
  <si>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</si>
  <si>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</si>
  <si>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</si>
  <si>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</si>
  <si>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</si>
  <si>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</si>
  <si>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</si>
  <si>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</si>
  <si>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</si>
  <si>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</si>
  <si>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</si>
  <si>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</si>
  <si>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</si>
  <si>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</si>
  <si>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</si>
  <si>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</si>
  <si>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</si>
  <si>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</si>
  <si>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</si>
  <si>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</si>
  <si>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</si>
  <si>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</si>
  <si>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</si>
  <si>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</si>
  <si>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</si>
  <si>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</si>
  <si>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</si>
  <si>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</si>
  <si>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</si>
  <si>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</si>
  <si>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</si>
  <si>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</si>
  <si>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</si>
  <si>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</si>
  <si>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</si>
  <si>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</si>
  <si>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</si>
  <si>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</si>
  <si>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</si>
  <si>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</si>
  <si>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</si>
  <si>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</si>
  <si>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</si>
  <si>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</si>
  <si>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</si>
  <si>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</si>
  <si>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</si>
  <si>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</si>
  <si>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</si>
  <si>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</si>
  <si>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</si>
  <si>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</si>
  <si>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</si>
  <si>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</si>
  <si>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</si>
  <si>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</si>
  <si>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</si>
  <si>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</si>
  <si>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</si>
  <si>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</si>
  <si>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</si>
  <si>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</si>
  <si>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</si>
  <si>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</si>
  <si>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</si>
  <si>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</si>
  <si>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</si>
  <si>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</si>
  <si>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</si>
  <si>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</si>
  <si>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</si>
  <si>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</si>
  <si>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</si>
  <si>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</si>
  <si>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</si>
  <si>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</si>
  <si>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</si>
  <si>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</si>
  <si>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</si>
  <si>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</si>
  <si>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</si>
  <si>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</si>
  <si>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</si>
  <si>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</si>
  <si>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</si>
  <si>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</si>
  <si>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</si>
  <si>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</si>
  <si>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</si>
  <si>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</si>
  <si>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</si>
  <si>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</si>
  <si>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</si>
  <si>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</si>
  <si>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</si>
  <si>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</si>
  <si>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</si>
  <si>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</si>
  <si>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</si>
  <si>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</si>
  <si>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</si>
  <si>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</si>
  <si>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</si>
  <si>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</si>
  <si>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</si>
  <si>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</si>
  <si>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</si>
  <si>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</si>
  <si>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</si>
  <si>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</si>
  <si>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</si>
  <si>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</si>
  <si>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</si>
  <si>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</si>
  <si>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</si>
  <si>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</si>
  <si>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</si>
  <si>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</si>
  <si>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</si>
  <si>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</si>
  <si>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</si>
  <si>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</si>
  <si>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</si>
  <si>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</si>
  <si>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</si>
  <si>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</si>
  <si>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</si>
  <si>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</si>
  <si>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</si>
  <si>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</si>
  <si>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</si>
  <si>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</si>
  <si>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</si>
  <si>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</si>
  <si>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</si>
  <si>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</si>
  <si>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</si>
  <si>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</si>
  <si>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</si>
  <si>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</si>
  <si>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</si>
  <si>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</si>
  <si>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</si>
  <si>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</si>
  <si>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</si>
  <si>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</si>
  <si>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</si>
  <si>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</si>
  <si>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</si>
  <si>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</si>
  <si>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</si>
  <si>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</si>
  <si>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</si>
  <si>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</si>
  <si>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</si>
  <si>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</si>
  <si>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</si>
  <si>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</si>
  <si>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</si>
  <si>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</si>
  <si>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</si>
  <si>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</si>
  <si>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</si>
  <si>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</si>
  <si>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</si>
  <si>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</si>
  <si>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</si>
  <si>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</si>
  <si>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</si>
  <si>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</si>
  <si>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</si>
  <si>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</si>
  <si>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</si>
  <si>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</si>
  <si>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</si>
  <si>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</si>
  <si>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</si>
  <si>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</si>
  <si>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</si>
  <si>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</si>
  <si>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</si>
  <si>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</si>
  <si>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</si>
  <si>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</si>
  <si>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</si>
  <si>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</si>
  <si>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</si>
  <si>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</si>
  <si>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</si>
  <si>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</si>
  <si>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</si>
  <si>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</si>
  <si>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</si>
  <si>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</si>
  <si>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</si>
  <si>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</si>
  <si>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</si>
  <si>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</si>
  <si>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</si>
  <si>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</si>
  <si>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</si>
  <si>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</si>
  <si>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</si>
  <si>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</si>
  <si>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</si>
  <si>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</si>
  <si>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</si>
  <si>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</si>
  <si>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</si>
  <si>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</si>
  <si>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</si>
  <si>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</si>
  <si>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</si>
  <si>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</si>
  <si>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</si>
  <si>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</si>
  <si>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</si>
  <si>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</si>
  <si>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</si>
  <si>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</si>
  <si>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</si>
  <si>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</si>
  <si>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</si>
  <si>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</si>
  <si>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</si>
  <si>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</si>
  <si>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</si>
  <si>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</si>
  <si>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</si>
  <si>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</si>
  <si>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</si>
  <si>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</si>
  <si>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</si>
  <si>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</si>
  <si>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</si>
  <si>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</si>
  <si>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</si>
  <si>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</si>
  <si>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</si>
  <si>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</si>
  <si>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</si>
  <si>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</si>
  <si>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</si>
  <si>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</si>
  <si>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</si>
  <si>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</si>
  <si>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</si>
  <si>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</si>
  <si>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</si>
  <si>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</si>
  <si>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</si>
  <si>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</si>
  <si>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</si>
  <si>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</si>
  <si>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</si>
  <si>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</si>
  <si>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</si>
  <si>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</si>
  <si>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</si>
  <si>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</si>
  <si>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</si>
  <si>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</si>
  <si>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</si>
  <si>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</si>
  <si>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</si>
  <si>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</si>
  <si>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</si>
  <si>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</si>
  <si>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</si>
  <si>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</si>
  <si>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</si>
  <si>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</si>
  <si>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</si>
  <si>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</si>
  <si>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</si>
  <si>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</si>
  <si>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</si>
  <si>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</si>
  <si>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</si>
  <si>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</si>
  <si>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</si>
  <si>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</si>
  <si>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</si>
  <si>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</si>
  <si>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</si>
  <si>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</si>
  <si>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</si>
  <si>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</si>
  <si>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</si>
  <si>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</si>
  <si>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</si>
  <si>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</si>
  <si>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</si>
  <si>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</si>
  <si>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</si>
  <si>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</si>
  <si>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</si>
  <si>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</si>
  <si>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</si>
  <si>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</si>
  <si>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</si>
  <si>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</si>
  <si>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</si>
  <si>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</si>
  <si>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</si>
  <si>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</si>
  <si>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</si>
  <si>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</si>
  <si>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</si>
  <si>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</si>
  <si>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</si>
  <si>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</si>
  <si>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</si>
  <si>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</si>
  <si>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</si>
  <si>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</si>
  <si>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</si>
  <si>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</si>
  <si>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</si>
  <si>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</si>
  <si>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</si>
  <si>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</si>
  <si>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</si>
  <si>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</si>
  <si>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</si>
  <si>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</si>
  <si>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</si>
  <si>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</si>
  <si>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</si>
  <si>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</si>
  <si>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</si>
  <si>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</si>
  <si>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</si>
  <si>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</si>
  <si>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</si>
  <si>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</si>
  <si>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</si>
  <si>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</si>
  <si>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</si>
  <si>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</si>
  <si>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</si>
  <si>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</si>
  <si>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</si>
  <si>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</si>
  <si>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</si>
  <si>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</si>
  <si>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</si>
  <si>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</si>
  <si>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</si>
  <si>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</si>
  <si>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</si>
  <si>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</si>
  <si>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</si>
  <si>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</si>
  <si>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</si>
  <si>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</si>
  <si>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</si>
  <si>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</si>
  <si>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</si>
  <si>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</si>
  <si>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</si>
  <si>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</si>
  <si>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</si>
  <si>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</si>
  <si>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</si>
  <si>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</si>
  <si>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</si>
  <si>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</si>
  <si>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</si>
  <si>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</si>
  <si>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</si>
  <si>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</si>
  <si>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</si>
  <si>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</si>
  <si>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</si>
  <si>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</si>
  <si>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</si>
  <si>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</si>
  <si>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</si>
  <si>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</si>
  <si>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</si>
  <si>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</si>
  <si>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</si>
  <si>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</si>
  <si>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</si>
  <si>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</si>
  <si>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</si>
  <si>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</si>
  <si>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</si>
  <si>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</si>
  <si>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</si>
  <si>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</si>
  <si>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</si>
  <si>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</si>
  <si>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</si>
  <si>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</si>
  <si>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</si>
  <si>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</si>
  <si>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</si>
  <si>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</si>
  <si>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</si>
  <si>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</si>
  <si>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</si>
  <si>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</si>
  <si>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</si>
  <si>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</si>
  <si>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</si>
  <si>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</si>
  <si>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</si>
  <si>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</si>
  <si>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</si>
  <si>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</si>
  <si>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</si>
  <si>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</si>
  <si>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</si>
  <si>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</si>
  <si>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</si>
  <si>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</si>
  <si>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</si>
  <si>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</si>
  <si>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</si>
  <si>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</si>
  <si>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</si>
  <si>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</si>
  <si>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</si>
  <si>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</si>
  <si>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</si>
  <si>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</si>
  <si>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</si>
  <si>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</si>
  <si>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</si>
  <si>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</si>
  <si>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</si>
  <si>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</si>
  <si>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</si>
  <si>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</si>
  <si>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</si>
  <si>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</si>
  <si>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</si>
  <si>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</si>
  <si>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</si>
  <si>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</si>
  <si>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</si>
  <si>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</si>
  <si>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</si>
  <si>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</si>
  <si>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</si>
  <si>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</si>
  <si>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</si>
  <si>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</si>
  <si>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</si>
  <si>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</si>
  <si>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</si>
  <si>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</si>
  <si>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</si>
  <si>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</si>
  <si>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</si>
  <si>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</si>
  <si>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</si>
  <si>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</si>
  <si>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</si>
  <si>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</si>
  <si>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</si>
  <si>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</si>
  <si>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</si>
  <si>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</si>
  <si>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</si>
  <si>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</si>
  <si>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</si>
  <si>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</si>
  <si>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</si>
  <si>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</si>
  <si>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</si>
  <si>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</si>
  <si>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</si>
  <si>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</si>
  <si>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</si>
  <si>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</si>
  <si>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</si>
  <si>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</si>
  <si>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</si>
  <si>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</si>
  <si>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</si>
  <si>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</si>
  <si>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</si>
  <si>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</si>
  <si>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</si>
  <si>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</si>
  <si>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</si>
  <si>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</si>
  <si>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</si>
  <si>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</si>
  <si>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</si>
  <si>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</si>
  <si>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</si>
  <si>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</si>
  <si>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</si>
  <si>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</si>
  <si>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</si>
  <si>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</si>
  <si>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</si>
  <si>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</si>
  <si>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</si>
  <si>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</si>
  <si>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</si>
  <si>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</si>
  <si>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</si>
  <si>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</si>
  <si>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</si>
  <si>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</si>
  <si>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</si>
  <si>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</si>
  <si>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</si>
  <si>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</si>
  <si>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</si>
  <si>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</si>
  <si>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</si>
  <si>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</si>
  <si>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</si>
  <si>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</si>
  <si>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</si>
  <si>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</si>
  <si>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</si>
  <si>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</si>
  <si>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</si>
  <si>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</si>
  <si>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</si>
  <si>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</si>
  <si>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</si>
  <si>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</si>
  <si>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</si>
  <si>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</si>
  <si>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</si>
  <si>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</si>
  <si>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</si>
  <si>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</si>
  <si>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</si>
  <si>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</si>
  <si>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</si>
  <si>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</si>
  <si>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</si>
  <si>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</si>
  <si>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</si>
  <si>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</si>
  <si>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</si>
  <si>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</si>
  <si>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</si>
  <si>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</si>
  <si>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</si>
  <si>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</si>
  <si>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</si>
  <si>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</si>
  <si>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</si>
  <si>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</si>
  <si>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</si>
  <si>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</si>
  <si>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</si>
  <si>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</si>
  <si>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</si>
  <si>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</si>
  <si>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</si>
  <si>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</si>
  <si>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</si>
  <si>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</si>
  <si>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</si>
  <si>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</si>
  <si>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</si>
  <si>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</si>
  <si>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</si>
  <si>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</si>
  <si>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</si>
  <si>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</si>
  <si>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</si>
  <si>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</si>
  <si>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</si>
  <si>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</si>
  <si>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</si>
  <si>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</si>
  <si>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</si>
  <si>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</si>
  <si>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</si>
  <si>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</si>
  <si>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</si>
  <si>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</si>
  <si>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</si>
  <si>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</si>
  <si>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</si>
  <si>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</si>
  <si>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</si>
  <si>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</si>
  <si>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</si>
  <si>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</si>
  <si>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</si>
  <si>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</si>
  <si>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</si>
  <si>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</si>
  <si>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</si>
  <si>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</si>
  <si>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</si>
  <si>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</si>
  <si>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</si>
  <si>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</si>
  <si>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</si>
  <si>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</si>
  <si>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</si>
  <si>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</si>
  <si>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</si>
  <si>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</si>
  <si>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</si>
  <si>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</si>
  <si>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</si>
  <si>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</si>
  <si>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</si>
  <si>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</si>
  <si>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</si>
  <si>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</si>
  <si>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</si>
  <si>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</si>
  <si>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</si>
  <si>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</si>
  <si>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</si>
  <si>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</si>
  <si>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</si>
  <si>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</si>
  <si>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</si>
  <si>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</si>
  <si>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</si>
  <si>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</si>
  <si>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</si>
  <si>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</si>
  <si>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</si>
  <si>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</si>
  <si>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</si>
  <si>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</si>
  <si>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</si>
  <si>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</si>
  <si>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</si>
  <si>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</si>
  <si>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</si>
  <si>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</si>
  <si>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</si>
  <si>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</si>
  <si>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</si>
  <si>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</si>
  <si>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</si>
  <si>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</si>
  <si>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</si>
  <si>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</si>
  <si>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</si>
  <si>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</si>
  <si>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</si>
  <si>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</si>
  <si>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</si>
  <si>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</si>
  <si>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</si>
  <si>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</si>
  <si>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</si>
  <si>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</si>
  <si>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</si>
  <si>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</si>
  <si>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</si>
  <si>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</si>
  <si>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</si>
  <si>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</si>
  <si>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</si>
  <si>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</si>
  <si>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</si>
  <si>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</si>
  <si>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</si>
  <si>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</si>
  <si>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</si>
  <si>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</si>
  <si>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</si>
  <si>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</si>
  <si>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</si>
  <si>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</si>
  <si>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</si>
  <si>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</si>
  <si>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</si>
  <si>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</si>
  <si>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</si>
  <si>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</si>
  <si>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</si>
  <si>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</si>
  <si>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</si>
  <si>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</si>
  <si>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</si>
  <si>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</si>
  <si>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</si>
  <si>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</si>
  <si>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</si>
  <si>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</si>
  <si>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</si>
  <si>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</si>
  <si>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</si>
  <si>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</si>
  <si>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</si>
  <si>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</si>
  <si>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</si>
  <si>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</si>
  <si>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</si>
  <si>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</si>
  <si>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</si>
  <si>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</si>
  <si>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</si>
  <si>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</si>
  <si>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</si>
  <si>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</si>
  <si>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</si>
  <si>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</si>
  <si>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</si>
  <si>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</si>
  <si>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</si>
  <si>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</si>
  <si>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</si>
  <si>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</si>
  <si>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</si>
  <si>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</si>
  <si>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</si>
  <si>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</si>
  <si>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</si>
  <si>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</si>
  <si>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</si>
  <si>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</si>
  <si>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</si>
  <si>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</si>
  <si>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</si>
  <si>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</si>
  <si>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</si>
  <si>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</si>
  <si>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</si>
  <si>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</si>
  <si>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</si>
  <si>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</si>
  <si>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</si>
  <si>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</si>
  <si>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</si>
  <si>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</si>
  <si>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</si>
  <si>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</si>
  <si>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</si>
  <si>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</si>
  <si>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</si>
  <si>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</si>
  <si>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</si>
  <si>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</si>
  <si>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</si>
  <si>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</si>
  <si>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</si>
  <si>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</si>
  <si>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</si>
  <si>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</si>
  <si>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</si>
  <si>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</si>
  <si>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</si>
  <si>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</si>
  <si>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</si>
  <si>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</si>
  <si>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</si>
  <si>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</si>
  <si>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</si>
  <si>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</si>
  <si>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</si>
  <si>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</si>
  <si>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</si>
  <si>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</si>
  <si>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</si>
  <si>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</si>
  <si>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</si>
  <si>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</si>
  <si>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</si>
  <si>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</si>
  <si>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</si>
  <si>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</si>
  <si>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</si>
  <si>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</si>
  <si>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</si>
  <si>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</si>
  <si>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</si>
  <si>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</si>
  <si>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</si>
  <si>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</si>
  <si>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</si>
  <si>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</si>
  <si>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</si>
  <si>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</si>
  <si>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</si>
  <si>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</si>
  <si>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</si>
  <si>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</si>
  <si>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</si>
  <si>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</si>
  <si>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</si>
  <si>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</si>
  <si>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</si>
  <si>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</si>
  <si>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</si>
  <si>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</si>
  <si>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</si>
  <si>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</si>
  <si>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</si>
  <si>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</si>
  <si>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</si>
  <si>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</si>
  <si>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</si>
  <si>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</si>
  <si>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</si>
  <si>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</si>
  <si>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</si>
  <si>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</si>
  <si>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</si>
  <si>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</si>
  <si>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</si>
  <si>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</si>
  <si>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</si>
  <si>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</si>
  <si>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</si>
  <si>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</si>
  <si>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</si>
  <si>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</si>
  <si>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</si>
  <si>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</si>
  <si>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</si>
  <si>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</si>
  <si>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</si>
  <si>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</si>
  <si>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</si>
  <si>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</si>
  <si>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</si>
  <si>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</si>
  <si>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</si>
  <si>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</si>
  <si>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</si>
  <si>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</si>
  <si>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</si>
  <si>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</si>
  <si>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</si>
  <si>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</si>
  <si>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</si>
  <si>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</si>
  <si>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</si>
  <si>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</si>
  <si>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</si>
  <si>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</si>
  <si>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</si>
  <si>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</si>
  <si>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</si>
  <si>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</si>
  <si>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</si>
  <si>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</si>
  <si>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</si>
  <si>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</si>
  <si>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</si>
  <si>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</si>
  <si>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</si>
  <si>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</si>
  <si>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</si>
  <si>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</si>
  <si>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</si>
  <si>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</si>
  <si>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</si>
  <si>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</si>
  <si>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</si>
  <si>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</si>
  <si>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</si>
  <si>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</si>
  <si>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</si>
  <si>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</si>
  <si>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</si>
  <si>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</si>
  <si>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</si>
  <si>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</si>
  <si>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</si>
  <si>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</si>
  <si>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</si>
  <si>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</si>
  <si>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</si>
  <si>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</si>
  <si>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</si>
  <si>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</si>
  <si>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</si>
  <si>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</si>
  <si>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</si>
  <si>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</si>
  <si>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</si>
  <si>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</si>
  <si>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</si>
  <si>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</si>
  <si>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</si>
  <si>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</si>
  <si>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</si>
  <si>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</si>
  <si>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</si>
  <si>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</si>
  <si>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</si>
  <si>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</si>
  <si>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</si>
  <si>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</si>
  <si>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</si>
  <si>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</si>
  <si>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</si>
  <si>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</si>
  <si>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</si>
  <si>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</si>
  <si>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</si>
  <si>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</si>
  <si>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</si>
  <si>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</si>
  <si>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</si>
  <si>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</si>
  <si>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</si>
  <si>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</si>
  <si>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</si>
  <si>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</si>
  <si>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</si>
  <si>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</si>
  <si>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</si>
  <si>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</si>
  <si>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</si>
  <si>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</si>
  <si>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</si>
  <si>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</si>
  <si>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</si>
  <si>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</si>
  <si>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</si>
  <si>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</si>
  <si>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</si>
  <si>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</si>
  <si>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</si>
  <si>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</si>
  <si>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</si>
  <si>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</si>
  <si>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</si>
  <si>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</si>
  <si>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</si>
  <si>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</si>
  <si>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</si>
  <si>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</si>
  <si>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</si>
  <si>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</si>
  <si>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</si>
  <si>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</si>
  <si>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</si>
  <si>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</si>
  <si>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</si>
  <si>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</si>
  <si>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</si>
  <si>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</si>
  <si>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</si>
  <si>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</si>
  <si>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</si>
  <si>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</si>
  <si>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</si>
  <si>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</si>
  <si>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</si>
  <si>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</si>
  <si>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</si>
  <si>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</si>
  <si>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</si>
  <si>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</si>
  <si>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</si>
  <si>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</si>
  <si>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</si>
  <si>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</si>
  <si>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</si>
  <si>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</si>
  <si>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</si>
  <si>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</si>
  <si>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</si>
  <si>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</si>
  <si>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</si>
  <si>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</si>
  <si>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</si>
  <si>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</si>
  <si>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</si>
  <si>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</si>
  <si>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</si>
  <si>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</si>
  <si>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</si>
  <si>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</si>
  <si>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</si>
  <si>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</si>
  <si>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</si>
  <si>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</si>
  <si>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</si>
  <si>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</si>
  <si>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</si>
  <si>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</si>
  <si>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</si>
  <si>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</si>
  <si>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</si>
  <si>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</si>
  <si>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</si>
  <si>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</si>
  <si>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</si>
  <si>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</si>
  <si>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</si>
  <si>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</si>
  <si>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</si>
  <si>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</si>
  <si>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</si>
  <si>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</si>
  <si>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</si>
  <si>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</si>
  <si>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</si>
  <si>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</si>
  <si>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</si>
  <si>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</si>
  <si>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</si>
  <si>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</si>
  <si>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</si>
  <si>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</si>
  <si>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</si>
  <si>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</si>
  <si>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</si>
  <si>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</si>
  <si>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</si>
  <si>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</si>
  <si>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</si>
  <si>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</si>
  <si>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</si>
  <si>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</si>
  <si>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</si>
  <si>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</si>
  <si>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</si>
  <si>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</si>
  <si>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</si>
  <si>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</si>
  <si>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</si>
  <si>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</si>
  <si>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</si>
  <si>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</si>
  <si>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</si>
  <si>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</si>
  <si>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</si>
  <si>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</si>
  <si>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</si>
  <si>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</si>
  <si>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</si>
  <si>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</si>
  <si>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</si>
  <si>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</si>
  <si>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</si>
  <si>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</si>
  <si>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</si>
  <si>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</si>
  <si>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</si>
  <si>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</si>
  <si>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</si>
  <si>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</si>
  <si>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</si>
  <si>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</si>
  <si>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</si>
  <si>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</si>
  <si>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</si>
  <si>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</si>
  <si>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</si>
  <si>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</si>
  <si>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</si>
  <si>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</si>
  <si>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</si>
  <si>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</si>
  <si>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</si>
  <si>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</si>
  <si>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</si>
  <si>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</si>
  <si>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</si>
  <si>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</si>
  <si>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</si>
  <si>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</si>
  <si>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</si>
  <si>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</si>
  <si>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</si>
  <si>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</si>
  <si>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</si>
  <si>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</si>
  <si>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</si>
  <si>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</si>
  <si>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</si>
  <si>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</si>
  <si>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</si>
  <si>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</si>
  <si>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</si>
  <si>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</si>
  <si>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</si>
  <si>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</si>
  <si>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</si>
  <si>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</si>
  <si>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</si>
  <si>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</si>
  <si>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</si>
  <si>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</si>
  <si>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</si>
  <si>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</si>
  <si>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</si>
  <si>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</si>
  <si>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</si>
  <si>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</si>
  <si>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</si>
  <si>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</si>
  <si>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</si>
  <si>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</si>
  <si>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</si>
  <si>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</si>
  <si>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</si>
  <si>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</si>
  <si>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</si>
  <si>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</si>
  <si>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</si>
  <si>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</si>
  <si>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</si>
  <si>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</si>
  <si>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</si>
  <si>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</si>
  <si>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</si>
  <si>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</si>
  <si>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</si>
  <si>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</si>
  <si>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</si>
  <si>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</si>
  <si>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</si>
  <si>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</si>
  <si>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</si>
  <si>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</si>
  <si>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</si>
  <si>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</si>
  <si>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</si>
  <si>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</si>
  <si>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</si>
  <si>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</si>
  <si>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</si>
  <si>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</si>
  <si>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</si>
  <si>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</si>
  <si>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</si>
  <si>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</si>
  <si>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</si>
  <si>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</si>
  <si>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</si>
  <si>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</si>
  <si>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</si>
  <si>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</si>
  <si>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</si>
  <si>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</si>
  <si>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</si>
  <si>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</si>
  <si>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</si>
  <si>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</si>
  <si>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</si>
  <si>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</si>
  <si>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</si>
  <si>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</si>
  <si>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</si>
  <si>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</si>
  <si>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</si>
  <si>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</si>
  <si>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</si>
  <si>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</si>
  <si>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</si>
  <si>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</si>
  <si>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</si>
  <si>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</si>
  <si>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</si>
  <si>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</si>
  <si>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</si>
  <si>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</si>
  <si>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</si>
  <si>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</si>
  <si>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</si>
  <si>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</si>
  <si>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</si>
  <si>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</si>
  <si>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</si>
  <si>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</si>
  <si>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</si>
  <si>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</si>
  <si>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</si>
  <si>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</si>
  <si>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</si>
  <si>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</si>
  <si>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</si>
  <si>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</si>
  <si>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</si>
  <si>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</si>
  <si>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</si>
  <si>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</si>
  <si>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</si>
  <si>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</si>
  <si>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</si>
  <si>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</si>
  <si>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</si>
  <si>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</si>
  <si>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</si>
  <si>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</si>
  <si>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</si>
  <si>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</si>
  <si>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</si>
  <si>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</si>
  <si>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</si>
  <si>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</si>
  <si>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</si>
  <si>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</si>
  <si>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</si>
  <si>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</si>
  <si>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</si>
  <si>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</si>
  <si>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</si>
  <si>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</si>
  <si>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</si>
  <si>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</si>
  <si>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</si>
  <si>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</si>
  <si>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</si>
  <si>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</si>
  <si>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</si>
  <si>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</si>
  <si>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</si>
  <si>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</si>
  <si>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</si>
  <si>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</si>
  <si>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</si>
  <si>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</si>
  <si>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</si>
  <si>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</si>
  <si>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</si>
  <si>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</si>
  <si>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</si>
  <si>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</si>
  <si>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</si>
  <si>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</si>
  <si>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</si>
  <si>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</si>
  <si>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</si>
  <si>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</si>
  <si>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</si>
  <si>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</si>
  <si>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</si>
  <si>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</si>
  <si>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</si>
  <si>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</si>
  <si>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</si>
  <si>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</si>
  <si>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</si>
  <si>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</si>
  <si>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</si>
  <si>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</si>
  <si>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</si>
  <si>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</si>
  <si>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</si>
  <si>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</si>
  <si>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</si>
  <si>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</si>
  <si>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</si>
  <si>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</si>
  <si>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</si>
  <si>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</si>
  <si>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</si>
  <si>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</si>
  <si>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</si>
  <si>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</si>
  <si>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</si>
  <si>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</si>
  <si>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</si>
  <si>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</si>
  <si>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</si>
  <si>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</si>
  <si>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</si>
  <si>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</si>
  <si>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</si>
  <si>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</si>
  <si>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</si>
  <si>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</si>
  <si>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</si>
  <si>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</si>
  <si>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</si>
  <si>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</si>
  <si>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</si>
  <si>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</si>
  <si>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</si>
  <si>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</si>
  <si>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</si>
  <si>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</si>
  <si>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</si>
  <si>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</si>
  <si>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</si>
  <si>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</si>
  <si>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</si>
  <si>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</si>
  <si>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</si>
  <si>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</si>
  <si>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</si>
  <si>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</si>
  <si>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</si>
  <si>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</si>
  <si>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</si>
  <si>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</si>
  <si>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</si>
  <si>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</si>
  <si>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</si>
  <si>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</si>
  <si>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</si>
  <si>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</si>
  <si>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</si>
  <si>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</si>
  <si>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</si>
  <si>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</si>
  <si>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</si>
  <si>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</si>
  <si>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</si>
  <si>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</si>
  <si>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</si>
  <si>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</si>
  <si>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</si>
  <si>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</si>
  <si>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</si>
  <si>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</si>
  <si>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</si>
  <si>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</si>
  <si>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</si>
  <si>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</si>
  <si>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</si>
  <si>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</si>
  <si>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</si>
  <si>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</si>
  <si>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</si>
  <si>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</si>
  <si>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</si>
  <si>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</si>
  <si>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</si>
  <si>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</si>
  <si>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</si>
  <si>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</si>
  <si>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</si>
  <si>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</si>
  <si>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</si>
  <si>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</si>
  <si>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</si>
  <si>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</si>
  <si>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</si>
  <si>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</si>
  <si>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</si>
  <si>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</si>
  <si>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</si>
  <si>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</si>
  <si>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</si>
  <si>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</si>
  <si>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</si>
  <si>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</si>
  <si>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</si>
  <si>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</si>
  <si>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</si>
  <si>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</si>
  <si>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</si>
  <si>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</si>
  <si>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</si>
  <si>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</si>
  <si>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</si>
  <si>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</si>
  <si>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</si>
  <si>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</si>
  <si>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</si>
  <si>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</si>
  <si>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</si>
  <si>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</si>
  <si>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</si>
  <si>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</si>
  <si>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</si>
  <si>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</si>
  <si>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</si>
  <si>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</si>
  <si>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</si>
  <si>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</si>
  <si>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</si>
  <si>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</si>
  <si>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</si>
  <si>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</si>
  <si>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</si>
  <si>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</si>
  <si>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</si>
  <si>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</si>
  <si>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</si>
  <si>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</si>
  <si>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</si>
  <si>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</si>
  <si>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</si>
  <si>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</si>
  <si>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</si>
  <si>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</si>
  <si>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</si>
  <si>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</si>
  <si>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</si>
  <si>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</si>
  <si>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</si>
  <si>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</si>
  <si>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</si>
  <si>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</si>
  <si>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</si>
  <si>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</si>
  <si>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</si>
  <si>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</si>
  <si>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</si>
  <si>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</si>
  <si>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</si>
  <si>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</si>
  <si>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</si>
  <si>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</si>
  <si>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</si>
  <si>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</si>
  <si>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</si>
  <si>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</si>
  <si>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</si>
  <si>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</si>
  <si>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</si>
  <si>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</si>
  <si>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</si>
  <si>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</si>
  <si>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</si>
  <si>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</si>
  <si>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</si>
  <si>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</si>
  <si>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</si>
  <si>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</si>
  <si>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</si>
  <si>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</si>
  <si>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</si>
  <si>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</si>
  <si>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</si>
  <si>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</si>
  <si>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</si>
  <si>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</si>
  <si>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</si>
  <si>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</si>
  <si>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</si>
  <si>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</si>
  <si>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</si>
  <si>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</si>
  <si>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</si>
  <si>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</si>
  <si>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</si>
  <si>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</si>
  <si>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</si>
  <si>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</si>
  <si>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</si>
  <si>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</si>
  <si>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</si>
  <si>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</si>
  <si>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</si>
  <si>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</si>
  <si>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</si>
  <si>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</si>
  <si>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</si>
  <si>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</si>
  <si>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</si>
  <si>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</si>
  <si>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</si>
  <si>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</si>
  <si>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</si>
  <si>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</si>
  <si>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</si>
  <si>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</si>
  <si>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</si>
  <si>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</si>
  <si>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</si>
  <si>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</si>
  <si>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</si>
  <si>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</si>
  <si>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</si>
  <si>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</si>
  <si>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</si>
  <si>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</si>
  <si>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</si>
  <si>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</si>
  <si>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</si>
  <si>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</si>
  <si>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</si>
  <si>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</si>
  <si>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</si>
  <si>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</si>
  <si>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</si>
  <si>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</si>
  <si>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</si>
  <si>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</si>
  <si>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</si>
  <si>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</si>
  <si>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</si>
  <si>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</si>
  <si>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</si>
  <si>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</si>
  <si>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</si>
  <si>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</si>
  <si>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</si>
  <si>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</si>
  <si>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</si>
  <si>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</si>
  <si>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</si>
  <si>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</si>
  <si>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</si>
  <si>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</si>
  <si>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</si>
  <si>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</si>
  <si>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</si>
  <si>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</si>
  <si>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</si>
  <si>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</si>
  <si>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</si>
  <si>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</si>
  <si>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</si>
  <si>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</si>
  <si>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</si>
  <si>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</si>
  <si>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</si>
  <si>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</si>
  <si>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</si>
  <si>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</si>
  <si>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</si>
  <si>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</si>
  <si>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</si>
  <si>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</si>
  <si>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</si>
  <si>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</si>
  <si>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</si>
  <si>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</si>
  <si>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</si>
  <si>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</si>
  <si>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</si>
  <si>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</si>
  <si>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</si>
  <si>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</si>
  <si>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</si>
  <si>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</si>
  <si>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</si>
  <si>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</si>
  <si>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</si>
  <si>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</si>
  <si>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</si>
  <si>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</si>
  <si>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</si>
  <si>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</si>
  <si>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</si>
  <si>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</si>
  <si>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</si>
  <si>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</si>
  <si>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</si>
  <si>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</si>
  <si>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</si>
  <si>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</si>
  <si>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</si>
  <si>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</si>
  <si>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</si>
  <si>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</si>
  <si>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</si>
  <si>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</si>
  <si>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</si>
  <si>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</si>
  <si>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</si>
  <si>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</si>
  <si>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</si>
  <si>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</si>
  <si>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</si>
  <si>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</si>
  <si>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</si>
  <si>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</si>
  <si>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</si>
  <si>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</si>
  <si>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</si>
  <si>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</si>
  <si>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</si>
  <si>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</si>
  <si>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</si>
  <si>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</si>
  <si>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</si>
  <si>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</si>
  <si>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</si>
  <si>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</si>
  <si>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</si>
  <si>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</si>
  <si>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</si>
  <si>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</si>
  <si>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</si>
  <si>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</si>
  <si>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</si>
  <si>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</si>
  <si>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</si>
  <si>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</si>
  <si>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</si>
  <si>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</si>
  <si>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</si>
  <si>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</si>
  <si>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</si>
  <si>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</si>
  <si>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</si>
  <si>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</si>
  <si>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</si>
  <si>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</si>
  <si>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</si>
  <si>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</si>
  <si>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</si>
  <si>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</si>
  <si>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</si>
  <si>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</si>
  <si>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</si>
  <si>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</si>
  <si>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</si>
  <si>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</si>
  <si>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</si>
  <si>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</si>
  <si>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</si>
  <si>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</si>
  <si>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</si>
  <si>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</si>
  <si>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</si>
  <si>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</si>
  <si>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</si>
  <si>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</si>
  <si>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</si>
  <si>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</si>
  <si>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</si>
  <si>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</si>
  <si>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</si>
  <si>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</si>
  <si>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</si>
  <si>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</si>
  <si>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</si>
  <si>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</si>
  <si>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</si>
  <si>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</si>
  <si>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</si>
  <si>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</si>
  <si>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</si>
  <si>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</si>
  <si>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</si>
  <si>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</si>
  <si>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</si>
  <si>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</si>
  <si>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</si>
  <si>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</si>
  <si>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</si>
  <si>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</si>
  <si>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</si>
  <si>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</si>
  <si>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</si>
  <si>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</si>
  <si>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</si>
  <si>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</si>
  <si>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</si>
  <si>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</si>
  <si>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</si>
  <si>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</si>
  <si>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</si>
  <si>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</si>
  <si>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</si>
  <si>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</si>
  <si>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</si>
  <si>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</si>
  <si>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</si>
  <si>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</si>
  <si>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</si>
  <si>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</si>
  <si>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</si>
  <si>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</si>
  <si>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</si>
  <si>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</si>
  <si>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</si>
  <si>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</si>
  <si>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</si>
  <si>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</si>
  <si>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</si>
  <si>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</si>
  <si>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</si>
  <si>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</si>
  <si>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</si>
  <si>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</si>
  <si>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</si>
  <si>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</si>
  <si>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</si>
  <si>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</si>
  <si>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</si>
  <si>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</si>
  <si>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</si>
  <si>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</si>
  <si>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</si>
  <si>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</si>
  <si>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</si>
  <si>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</si>
  <si>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</si>
  <si>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</si>
  <si>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</si>
  <si>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</si>
  <si>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</si>
  <si>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</si>
  <si>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</si>
  <si>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</si>
  <si>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</si>
  <si>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</si>
  <si>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</si>
  <si>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</si>
  <si>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</si>
  <si>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</si>
  <si>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</si>
  <si>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</si>
  <si>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</si>
  <si>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</si>
  <si>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</si>
  <si>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</si>
  <si>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</si>
  <si>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</si>
  <si>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</si>
  <si>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</si>
  <si>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</si>
  <si>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</si>
  <si>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</si>
  <si>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</si>
  <si>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</si>
  <si>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</si>
  <si>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</si>
  <si>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</si>
  <si>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</si>
  <si>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</si>
  <si>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</si>
  <si>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</si>
  <si>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</si>
  <si>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</si>
  <si>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</si>
  <si>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</si>
  <si>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</si>
  <si>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</si>
  <si>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</si>
  <si>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</si>
  <si>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</si>
  <si>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</si>
  <si>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</si>
  <si>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</si>
  <si>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</si>
  <si>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</si>
  <si>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</si>
  <si>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</si>
  <si>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</si>
  <si>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</si>
  <si>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</si>
  <si>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</si>
  <si>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</si>
  <si>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</si>
  <si>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</si>
  <si>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</si>
  <si>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</si>
  <si>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</si>
  <si>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</si>
  <si>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</si>
  <si>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</si>
  <si>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</si>
  <si>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</si>
  <si>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</si>
  <si>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</si>
  <si>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</si>
  <si>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</si>
  <si>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</si>
  <si>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</si>
  <si>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</si>
  <si>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</si>
  <si>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</si>
  <si>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</si>
  <si>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</si>
  <si>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</si>
  <si>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</si>
  <si>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</si>
  <si>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</si>
  <si>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</si>
  <si>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</si>
  <si>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</si>
  <si>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</si>
  <si>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</si>
  <si>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</si>
  <si>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</si>
  <si>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</si>
  <si>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</si>
  <si>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</si>
  <si>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</si>
  <si>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</si>
  <si>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</si>
  <si>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</si>
  <si>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</si>
  <si>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</si>
  <si>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</si>
  <si>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</si>
  <si>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</si>
  <si>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</si>
  <si>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</si>
  <si>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</si>
  <si>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</si>
  <si>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</si>
  <si>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</si>
  <si>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</si>
  <si>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</si>
  <si>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</si>
  <si>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</si>
  <si>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</si>
  <si>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</si>
  <si>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</si>
  <si>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</si>
  <si>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</si>
  <si>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</si>
  <si>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</si>
  <si>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</si>
  <si>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</si>
  <si>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</si>
  <si>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</si>
  <si>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</si>
  <si>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</si>
  <si>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</si>
  <si>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</si>
  <si>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</si>
  <si>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</si>
  <si>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</si>
  <si>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</si>
  <si>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</si>
  <si>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</si>
  <si>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</si>
  <si>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</si>
  <si>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</si>
  <si>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</si>
  <si>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</si>
  <si>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</si>
  <si>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</si>
  <si>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</si>
  <si>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</si>
  <si>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</si>
  <si>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</si>
  <si>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</si>
  <si>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</si>
  <si>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</si>
  <si>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</si>
  <si>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</si>
  <si>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</si>
  <si>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</si>
  <si>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</si>
  <si>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</si>
  <si>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</si>
  <si>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</si>
  <si>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</si>
  <si>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</si>
  <si>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</si>
  <si>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</si>
  <si>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</si>
  <si>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</si>
  <si>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</si>
  <si>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</si>
  <si>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</si>
  <si>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</si>
  <si>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</si>
  <si>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</si>
  <si>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</si>
  <si>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</si>
  <si>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</si>
  <si>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</si>
  <si>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</si>
  <si>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</si>
  <si>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</si>
  <si>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</si>
  <si>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</si>
  <si>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</si>
  <si>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</si>
  <si>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</si>
  <si>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</si>
  <si>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</si>
  <si>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</si>
  <si>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</si>
  <si>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</si>
  <si>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</si>
  <si>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</si>
  <si>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</si>
  <si>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</si>
  <si>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</si>
  <si>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</si>
  <si>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</si>
  <si>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</si>
  <si>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</si>
  <si>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</si>
  <si>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</si>
  <si>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</si>
  <si>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</si>
  <si>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</si>
  <si>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</si>
  <si>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</si>
  <si>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</si>
  <si>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</si>
  <si>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</si>
  <si>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</si>
  <si>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</si>
  <si>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</si>
  <si>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</si>
  <si>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</si>
  <si>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</si>
  <si>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</si>
  <si>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</si>
  <si>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</si>
  <si>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</si>
  <si>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</si>
  <si>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</si>
  <si>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</si>
  <si>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</si>
  <si>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</si>
  <si>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</si>
  <si>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</si>
  <si>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</si>
  <si>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</si>
  <si>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</si>
  <si>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</si>
  <si>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</si>
  <si>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</si>
  <si>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</si>
  <si>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</si>
  <si>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</si>
  <si>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</si>
  <si>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</si>
  <si>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</si>
  <si>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</si>
  <si>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</si>
  <si>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</si>
  <si>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</si>
  <si>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</si>
  <si>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</si>
  <si>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</si>
  <si>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</si>
  <si>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</si>
  <si>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</si>
  <si>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</si>
  <si>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</si>
  <si>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</si>
  <si>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</si>
  <si>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</si>
  <si>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</si>
  <si>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</si>
  <si>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</si>
  <si>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</si>
  <si>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</si>
  <si>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</si>
  <si>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</si>
  <si>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</si>
  <si>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</si>
  <si>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</si>
  <si>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</si>
  <si>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</si>
  <si>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</si>
  <si>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</si>
  <si>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</si>
  <si>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</si>
  <si>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</si>
  <si>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</si>
  <si>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</si>
  <si>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</si>
  <si>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</si>
  <si>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</si>
  <si>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</si>
  <si>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</si>
  <si>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</si>
  <si>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</si>
  <si>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</si>
  <si>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</si>
  <si>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</si>
  <si>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</si>
  <si>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</si>
  <si>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</si>
  <si>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</si>
  <si>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</si>
  <si>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</si>
  <si>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</si>
  <si>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</si>
  <si>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</si>
  <si>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</si>
  <si>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</si>
  <si>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</si>
  <si>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</si>
  <si>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</si>
  <si>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</si>
  <si>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</si>
  <si>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</si>
  <si>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</si>
  <si>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</si>
  <si>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</si>
  <si>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</si>
  <si>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</si>
  <si>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</si>
  <si>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</si>
  <si>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</si>
  <si>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</si>
  <si>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</si>
  <si>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</si>
  <si>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</si>
  <si>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</si>
  <si>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</si>
  <si>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</si>
  <si>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</si>
  <si>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</si>
  <si>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</si>
  <si>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</si>
  <si>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</si>
  <si>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</si>
  <si>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</si>
  <si>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</si>
  <si>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</si>
  <si>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</si>
  <si>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</si>
  <si>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</si>
  <si>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</si>
  <si>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</si>
  <si>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</si>
  <si>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</si>
  <si>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</si>
  <si>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</si>
  <si>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</si>
  <si>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</si>
  <si>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</si>
  <si>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</si>
  <si>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</si>
  <si>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</si>
  <si>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</si>
  <si>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</si>
  <si>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</si>
  <si>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</si>
  <si>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</si>
  <si>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</si>
  <si>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</si>
  <si>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</si>
  <si>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</si>
  <si>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</si>
  <si>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</si>
  <si>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</si>
  <si>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</si>
  <si>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</si>
  <si>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</si>
  <si>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</si>
  <si>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</si>
  <si>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</si>
  <si>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</si>
  <si>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</si>
  <si>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</si>
  <si>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</si>
  <si>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</si>
  <si>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</si>
  <si>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</si>
  <si>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</si>
  <si>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</si>
  <si>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</si>
  <si>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</si>
  <si>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</si>
  <si>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</si>
  <si>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</si>
  <si>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</si>
  <si>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</si>
  <si>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</si>
  <si>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</si>
  <si>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</si>
  <si>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</si>
  <si>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</si>
  <si>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</si>
  <si>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</si>
  <si>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</si>
  <si>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</si>
  <si>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</si>
  <si>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</si>
  <si>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</si>
  <si>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</si>
  <si>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</si>
  <si>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</si>
  <si>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</si>
  <si>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</si>
  <si>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</si>
  <si>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</si>
  <si>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</si>
  <si>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</si>
  <si>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</si>
  <si>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</si>
  <si>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</si>
  <si>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</si>
  <si>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</si>
  <si>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</si>
  <si>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</si>
  <si>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</si>
  <si>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</si>
  <si>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</si>
  <si>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</si>
  <si>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</si>
  <si>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</si>
  <si>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</si>
  <si>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</si>
  <si>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</si>
  <si>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</si>
  <si>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</si>
  <si>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</si>
  <si>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</si>
  <si>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</si>
  <si>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</si>
  <si>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</si>
  <si>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</si>
  <si>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</si>
  <si>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</si>
  <si>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</si>
  <si>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</si>
  <si>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</si>
  <si>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</si>
  <si>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</si>
  <si>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</si>
  <si>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</si>
  <si>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</si>
  <si>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</si>
  <si>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</si>
  <si>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</si>
  <si>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</si>
  <si>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</si>
  <si>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</si>
  <si>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</si>
  <si>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</si>
  <si>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</si>
  <si>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</si>
  <si>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</si>
  <si>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</si>
  <si>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</si>
  <si>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</si>
  <si>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</si>
  <si>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</si>
  <si>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</si>
  <si>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</si>
  <si>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</si>
  <si>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</si>
  <si>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</si>
  <si>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</si>
  <si>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</si>
  <si>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</si>
  <si>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</si>
  <si>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</si>
  <si>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</si>
  <si>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</si>
  <si>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</si>
  <si>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</si>
  <si>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</si>
  <si>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</si>
  <si>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</si>
  <si>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</si>
  <si>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</si>
  <si>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</si>
  <si>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</si>
  <si>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</si>
  <si>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</si>
  <si>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</si>
  <si>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</si>
  <si>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</si>
  <si>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</si>
  <si>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</si>
  <si>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</si>
  <si>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</si>
  <si>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</si>
  <si>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</si>
  <si>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</si>
  <si>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</si>
  <si>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</si>
  <si>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</si>
  <si>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</si>
  <si>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</si>
  <si>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</si>
  <si>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</si>
  <si>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</si>
  <si>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</si>
  <si>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</si>
  <si>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</si>
  <si>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</si>
  <si>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</si>
  <si>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</si>
  <si>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</si>
  <si>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</si>
  <si>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</si>
  <si>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</si>
  <si>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</si>
  <si>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</si>
  <si>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</si>
  <si>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</si>
  <si>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</si>
  <si>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</si>
  <si>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</si>
  <si>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</si>
  <si>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</si>
  <si>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</si>
  <si>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</si>
  <si>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</si>
  <si>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</si>
  <si>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</si>
  <si>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</si>
  <si>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</si>
  <si>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</si>
  <si>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</si>
  <si>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</si>
  <si>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</si>
  <si>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</si>
  <si>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</si>
  <si>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</si>
  <si>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</si>
  <si>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</si>
  <si>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</si>
  <si>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</si>
  <si>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</si>
  <si>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</si>
  <si>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</si>
  <si>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</si>
  <si>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</si>
  <si>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</si>
  <si>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</si>
  <si>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</si>
  <si>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</si>
  <si>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</si>
  <si>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</si>
  <si>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</si>
  <si>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</si>
  <si>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</si>
  <si>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</si>
  <si>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</si>
  <si>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</si>
  <si>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</si>
  <si>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</si>
  <si>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</si>
  <si>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</si>
  <si>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</si>
  <si>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</si>
  <si>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</si>
  <si>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</si>
  <si>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</si>
  <si>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</si>
  <si>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</si>
  <si>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</si>
  <si>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</si>
  <si>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</si>
  <si>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</si>
  <si>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</si>
  <si>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</si>
  <si>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</si>
  <si>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</si>
  <si>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</si>
  <si>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</si>
  <si>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</si>
  <si>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</si>
  <si>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</si>
  <si>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</si>
  <si>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</si>
  <si>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</si>
  <si>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</si>
  <si>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</si>
  <si>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</si>
  <si>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</si>
  <si>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</si>
  <si>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</si>
  <si>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</si>
  <si>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</si>
  <si>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</si>
  <si>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</si>
  <si>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</si>
  <si>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</si>
  <si>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</si>
  <si>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</si>
  <si>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</si>
  <si>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</si>
  <si>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</si>
  <si>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</si>
  <si>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</si>
  <si>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</si>
  <si>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</si>
  <si>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</si>
  <si>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</si>
  <si>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</si>
  <si>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</si>
  <si>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</si>
  <si>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</si>
  <si>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</si>
  <si>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</si>
  <si>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</si>
  <si>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</si>
  <si>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</si>
  <si>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</si>
  <si>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</si>
  <si>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</si>
  <si>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</si>
  <si>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</si>
  <si>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</si>
  <si>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</si>
  <si>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</si>
  <si>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</si>
  <si>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</si>
  <si>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</si>
  <si>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</si>
  <si>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</si>
  <si>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</si>
  <si>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</si>
  <si>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</si>
  <si>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</si>
  <si>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</si>
  <si>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</si>
  <si>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</si>
  <si>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</si>
  <si>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</si>
  <si>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</si>
  <si>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</si>
  <si>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</si>
  <si>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</si>
  <si>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Jun</t>
  </si>
  <si>
    <t>Years (Order Date)</t>
  </si>
  <si>
    <t>Months (Order Date)</t>
  </si>
  <si>
    <t>Arabica</t>
  </si>
  <si>
    <t>Excelsa</t>
  </si>
  <si>
    <t>Liberica</t>
  </si>
  <si>
    <t>Robusta</t>
  </si>
  <si>
    <t>Sum of Sales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</si>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</sst>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18">
    <dxf>
      <font>
        <b/>
        <i val="0"/>
        <sz val="20"/>
        <color theme="0"/>
        <name val="Calibri Light"/>
        <family val="2"/>
        <charset val="162"/>
        <scheme val="major"/>
      </font>
      <fill>
        <patternFill>
          <bgColor rgb="FF7030A0"/>
        </patternFill>
      </fill>
      <border>
        <left style="thin">
          <color auto="1"/>
        </left>
        <right style="thin">
          <color auto="1"/>
        </right>
        <top style="thin">
          <color auto="1"/>
        </top>
        <bottom style="thin">
          <color auto="1"/>
        </bottom>
      </border>
    </dxf>
    <dxf>
      <font>
        <color theme="1"/>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Light"/>
        <family val="2"/>
        <charset val="162"/>
        <scheme val="major"/>
      </font>
    </dxf>
    <dxf>
      <fill>
        <patternFill>
          <bgColor rgb="FF7030A0"/>
        </patternFill>
      </fill>
    </dxf>
    <dxf>
      <font>
        <b/>
        <sz val="11"/>
        <color theme="1"/>
      </font>
    </dxf>
    <dxf>
      <font>
        <b val="0"/>
        <i val="0"/>
        <sz val="11"/>
        <color rgb="FFBE56C4"/>
        <name val="Calibri Light"/>
        <family val="2"/>
        <charset val="162"/>
        <scheme val="maj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Slicer Style 1" pivot="0" table="0" count="6" xr9:uid="{DA32DA41-F8F7-4150-A7BC-C7A76420FA2E}">
      <tableStyleElement type="wholeTable" dxfId="3"/>
      <tableStyleElement type="headerRow" dxfId="2"/>
    </tableStyle>
    <tableStyle name="Timeline Style 1" pivot="0" table="0" count="8" xr9:uid="{8D03F789-40A0-4E9B-A714-A136BFB2363A}">
      <tableStyleElement type="wholeTable" dxfId="5"/>
      <tableStyleElement type="headerRow" dxfId="4"/>
    </tableStyle>
    <tableStyle name="Timeline Style 2" pivot="0" table="0" count="9" xr9:uid="{535F7C1D-FF41-498F-A895-BD7B5D1078A9}">
      <tableStyleElement type="wholeTable" dxfId="1"/>
      <tableStyleElement type="headerRow" dxfId="0"/>
    </tableStyle>
  </tableStyles>
  <colors>
    <mruColors>
      <color rgb="FFFFAFFB"/>
      <color rgb="FFBE56C4"/>
      <color rgb="FF00FC00"/>
      <color rgb="FF05A34B"/>
      <color rgb="FF0C6B32"/>
      <color rgb="FFB34FFF"/>
    </mruColors>
  </colors>
  <extLst>
    <ext xmlns:x14="http://schemas.microsoft.com/office/spreadsheetml/2009/9/main" uri="{46F421CA-312F-682f-3DD2-61675219B42D}">
      <x14:dxfs count="19">
        <dxf>
          <fill>
            <patternFill>
              <bgColor theme="0"/>
            </patternFill>
          </fill>
          <border>
            <left style="thin">
              <color auto="1"/>
            </left>
            <right style="thin">
              <color auto="1"/>
            </right>
            <top style="thin">
              <color auto="1"/>
            </top>
            <bottom style="thin">
              <color auto="1"/>
            </bottom>
          </border>
        </dxf>
        <dxf>
          <font>
            <sz val="12"/>
            <color theme="0"/>
            <name val="Calibri Light"/>
            <family val="2"/>
            <charset val="162"/>
            <scheme val="major"/>
          </font>
        </dxf>
        <dxf>
          <font>
            <sz val="11"/>
            <color theme="0"/>
            <name val="Calibri Light"/>
            <family val="2"/>
            <charset val="162"/>
            <scheme val="major"/>
          </font>
          <fill>
            <patternFill>
              <bgColor theme="0"/>
            </patternFill>
          </fill>
          <border>
            <left style="thin">
              <color auto="1"/>
            </left>
            <right style="thin">
              <color auto="1"/>
            </right>
            <top style="thin">
              <color auto="1"/>
            </top>
            <bottom style="thin">
              <color auto="1"/>
            </bottom>
          </border>
        </dxf>
        <dxf>
          <font>
            <sz val="11"/>
            <color theme="1"/>
            <name val="Calibri Light"/>
            <family val="2"/>
            <charset val="162"/>
            <scheme val="major"/>
          </font>
          <fill>
            <patternFill>
              <bgColor theme="7" tint="0.39994506668294322"/>
            </patternFill>
          </fill>
          <border>
            <left style="thin">
              <color auto="1"/>
            </left>
            <right style="thin">
              <color auto="1"/>
            </right>
            <top style="thin">
              <color auto="1"/>
            </top>
            <bottom style="thin">
              <color auto="1"/>
            </bottom>
          </border>
        </dxf>
        <dxf>
          <font>
            <sz val="12"/>
            <color theme="0"/>
            <name val="Calibri Light"/>
            <family val="2"/>
            <charset val="162"/>
            <scheme val="major"/>
          </font>
        </dxf>
        <dxf>
          <font>
            <sz val="11"/>
            <color theme="0"/>
            <name val="Calibri Light"/>
            <family val="2"/>
            <charset val="162"/>
            <scheme val="major"/>
          </font>
          <fill>
            <patternFill>
              <bgColor theme="0"/>
            </patternFill>
          </fill>
          <border>
            <left style="thin">
              <color auto="1"/>
            </left>
            <right style="thin">
              <color auto="1"/>
            </right>
            <top style="thin">
              <color auto="1"/>
            </top>
            <bottom style="thin">
              <color auto="1"/>
            </bottom>
          </border>
        </dxf>
        <dxf>
          <font>
            <sz val="11"/>
            <color theme="1"/>
            <name val="Calibri Light"/>
            <family val="2"/>
            <charset val="162"/>
            <scheme val="major"/>
          </font>
          <fill>
            <patternFill>
              <bgColor theme="7" tint="0.39994506668294322"/>
            </patternFill>
          </fill>
          <border>
            <left style="thin">
              <color auto="1"/>
            </left>
            <right style="thin">
              <color auto="1"/>
            </right>
            <top style="thin">
              <color auto="1"/>
            </top>
            <bottom style="thin">
              <color auto="1"/>
            </bottom>
          </border>
        </dxf>
        <dxf>
          <font>
            <sz val="12"/>
            <color theme="0"/>
            <name val="Calibri Light"/>
            <family val="2"/>
            <charset val="162"/>
            <scheme val="major"/>
          </font>
        </dxf>
        <dxf>
          <font>
            <sz val="11"/>
            <color theme="0"/>
            <name val="Calibri Light"/>
            <family val="2"/>
            <charset val="162"/>
            <scheme val="major"/>
          </font>
          <fill>
            <patternFill>
              <bgColor theme="0"/>
            </patternFill>
          </fill>
          <border>
            <left style="thin">
              <color auto="1"/>
            </left>
            <right style="thin">
              <color auto="1"/>
            </right>
            <top style="thin">
              <color auto="1"/>
            </top>
            <bottom style="thin">
              <color auto="1"/>
            </bottom>
          </border>
        </dxf>
        <dxf>
          <font>
            <sz val="11"/>
            <color theme="0"/>
            <name val="Calibri Light"/>
            <family val="2"/>
            <charset val="162"/>
            <scheme val="major"/>
          </font>
          <fill>
            <patternFill>
              <bgColor theme="7" tint="0.39994506668294322"/>
            </patternFill>
          </fill>
          <border>
            <left style="thin">
              <color auto="1"/>
            </left>
            <right style="thin">
              <color auto="1"/>
            </right>
            <top style="thin">
              <color auto="1"/>
            </top>
            <bottom style="thin">
              <color auto="1"/>
            </bottom>
          </border>
        </dxf>
        <dxf>
          <font>
            <sz val="12"/>
            <color theme="0"/>
            <name val="Calibri Light"/>
            <family val="2"/>
            <charset val="162"/>
            <scheme val="major"/>
          </font>
        </dxf>
        <dxf>
          <font>
            <sz val="11"/>
            <color theme="0"/>
            <name val="Calibri Light"/>
            <family val="2"/>
            <charset val="162"/>
            <scheme val="major"/>
          </font>
          <fill>
            <patternFill>
              <bgColor theme="0"/>
            </patternFill>
          </fill>
        </dxf>
        <dxf>
          <font>
            <sz val="11"/>
            <color theme="0"/>
            <name val="Calibri Light"/>
            <family val="2"/>
            <charset val="162"/>
            <scheme val="major"/>
          </font>
          <fill>
            <patternFill>
              <bgColor theme="7" tint="0.39994506668294322"/>
            </patternFill>
          </fill>
          <border>
            <left style="thin">
              <color auto="1"/>
            </left>
            <right style="thin">
              <color auto="1"/>
            </right>
            <top style="thin">
              <color auto="1"/>
            </top>
            <bottom style="thin">
              <color auto="1"/>
            </bottom>
          </border>
        </dxf>
        <dxf>
          <font>
            <sz val="12"/>
            <color theme="0"/>
            <name val="Calibri Light"/>
            <family val="2"/>
            <charset val="162"/>
            <scheme val="major"/>
          </font>
        </dxf>
        <dxf>
          <font>
            <sz val="11"/>
            <color theme="0"/>
            <name val="Calibri Light"/>
            <family val="2"/>
            <charset val="162"/>
            <scheme val="major"/>
          </font>
        </dxf>
        <dxf>
          <font>
            <sz val="11"/>
            <color theme="0"/>
            <name val="Calibri Light"/>
            <family val="2"/>
            <charset val="162"/>
            <scheme val="major"/>
          </font>
          <fill>
            <patternFill>
              <bgColor theme="7" tint="0.39994506668294322"/>
            </patternFill>
          </fill>
          <border>
            <left style="thin">
              <color auto="1"/>
            </left>
            <right style="thin">
              <color auto="1"/>
            </right>
            <top style="thin">
              <color auto="1"/>
            </top>
            <bottom style="thin">
              <color auto="1"/>
            </bottom>
          </border>
        </dxf>
        <dxf>
          <font>
            <sz val="11"/>
            <color theme="0"/>
            <name val="Calibri Light"/>
            <family val="2"/>
            <charset val="162"/>
            <scheme val="major"/>
          </font>
        </dxf>
        <dxf>
          <font>
            <sz val="12"/>
            <color theme="0"/>
            <name val="Calibri Light"/>
            <family val="2"/>
            <charset val="162"/>
            <scheme val="major"/>
          </font>
        </dxf>
        <dxf>
          <font>
            <sz val="11"/>
            <color theme="0"/>
            <name val="Calibri Light"/>
            <family val="2"/>
            <charset val="162"/>
            <scheme val="maj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3"/>
            <x14:slicerStyleElement type="selectedItemWithNoData" dxfId="2"/>
            <x14:slicerStyleElement type="hoveredSelectedItemWithData" dxfId="1"/>
          </x14:slicerStyleElements>
        </x14:slicerStyle>
      </x14:slicerStyles>
    </ext>
    <ext xmlns:x15="http://schemas.microsoft.com/office/spreadsheetml/2010/11/main" uri="{A0A4C193-F2C1-4fcb-8827-314CF55A85BB}">
      <x15:dxfs count="27">
        <dxf>
          <fill>
            <patternFill>
              <bgColor rgb="FF7030A0"/>
            </patternFill>
          </fill>
        </dxf>
        <dxf>
          <fill>
            <patternFill patternType="solid">
              <fgColor theme="0" tint="-0.14999847407452621"/>
              <bgColor theme="0" tint="-0.14999847407452621"/>
            </patternFill>
          </fill>
        </dxf>
        <dxf>
          <fill>
            <patternFill patternType="solid">
              <fgColor theme="0"/>
              <bgColor theme="7" tint="0.39994506668294322"/>
            </patternFill>
          </fill>
        </dxf>
        <dxf>
          <font>
            <sz val="10"/>
            <color theme="0"/>
            <name val="Calibri Light"/>
            <family val="2"/>
            <charset val="162"/>
            <scheme val="major"/>
          </font>
        </dxf>
        <dxf>
          <font>
            <sz val="10"/>
            <color theme="0"/>
            <name val="Calibri Light"/>
            <family val="2"/>
            <charset val="162"/>
            <scheme val="major"/>
          </font>
        </dxf>
        <dxf>
          <font>
            <sz val="11"/>
            <color theme="0"/>
            <name val="Calibri Light"/>
            <family val="2"/>
            <charset val="162"/>
            <scheme val="major"/>
          </font>
        </dxf>
        <dxf>
          <font>
            <sz val="11"/>
            <color theme="0"/>
            <name val="Calibri Light"/>
            <family val="2"/>
            <charset val="162"/>
            <scheme val="major"/>
          </font>
        </dxf>
        <dxf>
          <fill>
            <patternFill>
              <bgColor rgb="FF7030A0"/>
            </patternFill>
          </fill>
        </dxf>
        <dxf>
          <fill>
            <patternFill patternType="solid">
              <fgColor theme="0" tint="-0.14999847407452621"/>
              <bgColor theme="0" tint="-0.14999847407452621"/>
            </patternFill>
          </fill>
        </dxf>
        <dxf>
          <fill>
            <patternFill patternType="solid">
              <fgColor theme="0"/>
              <bgColor theme="7" tint="0.39994506668294322"/>
            </patternFill>
          </fill>
        </dxf>
        <dxf>
          <font>
            <sz val="10"/>
            <color theme="0"/>
            <name val="Calibri Light"/>
            <family val="2"/>
            <charset val="162"/>
            <scheme val="major"/>
          </font>
        </dxf>
        <dxf>
          <font>
            <sz val="10"/>
            <color theme="0"/>
            <name val="Calibri Light"/>
            <family val="2"/>
            <charset val="162"/>
            <scheme val="major"/>
          </font>
        </dxf>
        <dxf>
          <font>
            <sz val="11"/>
            <color theme="0"/>
            <name val="Calibri Light"/>
            <family val="2"/>
            <charset val="162"/>
            <scheme val="major"/>
          </font>
        </dxf>
        <dxf>
          <font>
            <sz val="11"/>
            <color theme="0"/>
            <name val="Calibri Light"/>
            <family val="2"/>
            <charset val="162"/>
            <scheme val="major"/>
          </font>
        </dxf>
        <dxf>
          <fill>
            <patternFill>
              <bgColor rgb="FF7030A0"/>
            </patternFill>
          </fill>
        </dxf>
        <dxf>
          <fill>
            <patternFill patternType="solid">
              <fgColor theme="0" tint="-0.14999847407452621"/>
              <bgColor theme="0" tint="-0.14999847407452621"/>
            </patternFill>
          </fill>
        </dxf>
        <dxf>
          <fill>
            <patternFill patternType="solid">
              <fgColor theme="0"/>
              <bgColor theme="7" tint="0.39994506668294322"/>
            </patternFill>
          </fill>
        </dxf>
        <dxf>
          <font>
            <sz val="10"/>
            <color theme="0"/>
            <name val="Calibri Light"/>
            <family val="2"/>
            <charset val="162"/>
            <scheme val="major"/>
          </font>
        </dxf>
        <dxf>
          <font>
            <sz val="10"/>
            <color theme="0"/>
            <name val="Calibri Light"/>
            <family val="2"/>
            <charset val="162"/>
            <scheme val="major"/>
          </font>
        </dxf>
        <dxf>
          <font>
            <sz val="11"/>
            <color theme="0"/>
            <name val="Calibri Light"/>
            <family val="2"/>
            <charset val="162"/>
            <scheme val="major"/>
          </font>
        </dxf>
        <dxf>
          <font>
            <sz val="11"/>
            <color theme="0"/>
            <name val="Calibri Light"/>
            <family val="2"/>
            <charset val="162"/>
            <scheme val="maj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Dark5">
        <x15:timelineStyle name="Timeline Style 1">
          <x15:timelineStyleElements>
            <x15:timelineStyleElement type="selectionLabel" dxfId="24"/>
            <x15:timelineStyleElement type="timeLevel" dxfId="23"/>
            <x15:timelineStyleElement type="periodLabel1" dxfId="22"/>
            <x15:timelineStyleElement type="periodLabel2" dxfId="21"/>
            <x15:timelineStyleElement type="selectedTimeBlock" dxfId="26"/>
            <x15:timelineStyleElement type="unselectedTimeBlock" dxfId="25"/>
          </x15:timelineStyleElements>
        </x15:timelineStyle>
        <x15:timelineStyle name="Timeline Styl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FF0000"/>
              </a:solidFill>
              <a:round/>
            </a:ln>
            <a:effectLst/>
          </c:spPr>
          <c:marker>
            <c:symbol val="none"/>
          </c:marker>
          <c:cat>
            <c:multiLvlStrRef>
              <c:f>TotalSales!$A$5:$B$5</c:f>
              <c:multiLvlStrCache>
                <c:ptCount val="1"/>
                <c:lvl>
                  <c:pt idx="0">
                    <c:v>Jun</c:v>
                  </c:pt>
                </c:lvl>
                <c:lvl>
                  <c:pt idx="0">
                    <c:v>2019</c:v>
                  </c:pt>
                </c:lvl>
              </c:multiLvlStrCache>
            </c:multiLvlStrRef>
          </c:cat>
          <c:val>
            <c:numRef>
              <c:f>TotalSales!$C$5</c:f>
              <c:numCache>
                <c:formatCode>#,##0_);\(#,##0\)</c:formatCode>
                <c:ptCount val="1"/>
                <c:pt idx="0">
                  <c:v>7.77</c:v>
                </c:pt>
              </c:numCache>
            </c:numRef>
          </c:val>
          <c:smooth val="0"/>
          <c:extLst>
            <c:ext xmlns:c16="http://schemas.microsoft.com/office/drawing/2014/chart" uri="{C3380CC4-5D6E-409C-BE32-E72D297353CC}">
              <c16:uniqueId val="{00000000-C348-6846-A2A9-912DCB485899}"/>
            </c:ext>
          </c:extLst>
        </c:ser>
        <c:ser>
          <c:idx val="1"/>
          <c:order val="1"/>
          <c:tx>
            <c:strRef>
              <c:f>TotalSales!$D$3:$D$4</c:f>
              <c:strCache>
                <c:ptCount val="1"/>
                <c:pt idx="0">
                  <c:v>Excelsa</c:v>
                </c:pt>
              </c:strCache>
            </c:strRef>
          </c:tx>
          <c:spPr>
            <a:ln w="28575" cap="rnd">
              <a:solidFill>
                <a:schemeClr val="tx1">
                  <a:lumMod val="85000"/>
                  <a:lumOff val="15000"/>
                </a:schemeClr>
              </a:solidFill>
              <a:round/>
            </a:ln>
            <a:effectLst/>
          </c:spPr>
          <c:marker>
            <c:symbol val="none"/>
          </c:marker>
          <c:cat>
            <c:multiLvlStrRef>
              <c:f>TotalSales!$A$5:$B$5</c:f>
              <c:multiLvlStrCache>
                <c:ptCount val="1"/>
                <c:lvl>
                  <c:pt idx="0">
                    <c:v>Jun</c:v>
                  </c:pt>
                </c:lvl>
                <c:lvl>
                  <c:pt idx="0">
                    <c:v>2019</c:v>
                  </c:pt>
                </c:lvl>
              </c:multiLvlStrCache>
            </c:multiLvlStrRef>
          </c:cat>
          <c:val>
            <c:numRef>
              <c:f>TotalSales!$D$5</c:f>
              <c:numCache>
                <c:formatCode>#,##0_);\(#,##0\)</c:formatCode>
                <c:ptCount val="1"/>
                <c:pt idx="0">
                  <c:v>341.54999999999995</c:v>
                </c:pt>
              </c:numCache>
            </c:numRef>
          </c:val>
          <c:smooth val="0"/>
          <c:extLst>
            <c:ext xmlns:c16="http://schemas.microsoft.com/office/drawing/2014/chart" uri="{C3380CC4-5D6E-409C-BE32-E72D297353CC}">
              <c16:uniqueId val="{00000001-C348-6846-A2A9-912DCB485899}"/>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TotalSales!$A$5:$B$5</c:f>
              <c:multiLvlStrCache>
                <c:ptCount val="1"/>
                <c:lvl>
                  <c:pt idx="0">
                    <c:v>Jun</c:v>
                  </c:pt>
                </c:lvl>
                <c:lvl>
                  <c:pt idx="0">
                    <c:v>2019</c:v>
                  </c:pt>
                </c:lvl>
              </c:multiLvlStrCache>
            </c:multiLvlStrRef>
          </c:cat>
          <c:val>
            <c:numRef>
              <c:f>TotalSales!$E$5</c:f>
              <c:numCache>
                <c:formatCode>#,##0_);\(#,##0\)</c:formatCode>
                <c:ptCount val="1"/>
                <c:pt idx="0">
                  <c:v>38.04</c:v>
                </c:pt>
              </c:numCache>
            </c:numRef>
          </c:val>
          <c:smooth val="0"/>
          <c:extLst>
            <c:ext xmlns:c16="http://schemas.microsoft.com/office/drawing/2014/chart" uri="{C3380CC4-5D6E-409C-BE32-E72D297353CC}">
              <c16:uniqueId val="{00000002-C348-6846-A2A9-912DCB485899}"/>
            </c:ext>
          </c:extLst>
        </c:ser>
        <c:ser>
          <c:idx val="3"/>
          <c:order val="3"/>
          <c:tx>
            <c:strRef>
              <c:f>TotalSales!$F$3:$F$4</c:f>
              <c:strCache>
                <c:ptCount val="1"/>
                <c:pt idx="0">
                  <c:v>Robusta</c:v>
                </c:pt>
              </c:strCache>
            </c:strRef>
          </c:tx>
          <c:spPr>
            <a:ln w="28575" cap="rnd">
              <a:solidFill>
                <a:srgbClr val="0070C0"/>
              </a:solidFill>
              <a:round/>
            </a:ln>
            <a:effectLst/>
          </c:spPr>
          <c:marker>
            <c:symbol val="none"/>
          </c:marker>
          <c:cat>
            <c:multiLvlStrRef>
              <c:f>TotalSales!$A$5:$B$5</c:f>
              <c:multiLvlStrCache>
                <c:ptCount val="1"/>
                <c:lvl>
                  <c:pt idx="0">
                    <c:v>Jun</c:v>
                  </c:pt>
                </c:lvl>
                <c:lvl>
                  <c:pt idx="0">
                    <c:v>2019</c:v>
                  </c:pt>
                </c:lvl>
              </c:multiLvlStrCache>
            </c:multiLvlStrRef>
          </c:cat>
          <c:val>
            <c:numRef>
              <c:f>TotalSales!$F$5</c:f>
              <c:numCache>
                <c:formatCode>#,##0_);\(#,##0\)</c:formatCode>
                <c:ptCount val="1"/>
                <c:pt idx="0">
                  <c:v>155.34999999999997</c:v>
                </c:pt>
              </c:numCache>
            </c:numRef>
          </c:val>
          <c:smooth val="0"/>
          <c:extLst>
            <c:ext xmlns:c16="http://schemas.microsoft.com/office/drawing/2014/chart" uri="{C3380CC4-5D6E-409C-BE32-E72D297353CC}">
              <c16:uniqueId val="{00000003-C348-6846-A2A9-912DCB485899}"/>
            </c:ext>
          </c:extLst>
        </c:ser>
        <c:dLbls>
          <c:showLegendKey val="0"/>
          <c:showVal val="0"/>
          <c:showCatName val="0"/>
          <c:showSerName val="0"/>
          <c:showPercent val="0"/>
          <c:showBubbleSize val="0"/>
        </c:dLbls>
        <c:smooth val="0"/>
        <c:axId val="88429376"/>
        <c:axId val="117243200"/>
      </c:lineChart>
      <c:catAx>
        <c:axId val="8842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17243200"/>
        <c:crosses val="autoZero"/>
        <c:auto val="1"/>
        <c:lblAlgn val="ctr"/>
        <c:lblOffset val="100"/>
        <c:noMultiLvlLbl val="0"/>
      </c:catAx>
      <c:valAx>
        <c:axId val="11724320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8842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AFFB"/>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[coffeeOrdersData.xlsx]CountryBarChart!TotalSalesPivot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C6B32"/>
          </a:solidFill>
          <a:ln w="25400">
            <a:solidFill>
              <a:schemeClr val="bg1"/>
            </a:solidFill>
          </a:ln>
          <a:effectLst/>
        </c:spPr>
      </c:pivotFmt>
      <c:pivotFmt>
        <c:idx val="2"/>
        <c:spPr>
          <a:solidFill>
            <a:srgbClr val="05A34B"/>
          </a:solidFill>
          <a:ln w="25400">
            <a:solidFill>
              <a:schemeClr val="bg1"/>
            </a:solidFill>
          </a:ln>
          <a:effectLst/>
        </c:spPr>
      </c:pivotFmt>
      <c:pivotFmt>
        <c:idx val="3"/>
        <c:spPr>
          <a:solidFill>
            <a:srgbClr val="00FC00"/>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00FC00"/>
              </a:solidFill>
              <a:ln w="25400">
                <a:solidFill>
                  <a:schemeClr val="bg1"/>
                </a:solidFill>
              </a:ln>
              <a:effectLst/>
            </c:spPr>
            <c:extLst>
              <c:ext xmlns:c16="http://schemas.microsoft.com/office/drawing/2014/chart" uri="{C3380CC4-5D6E-409C-BE32-E72D297353CC}">
                <c16:uniqueId val="{00000004-E71F-5244-8A8E-00E89E539500}"/>
              </c:ext>
            </c:extLst>
          </c:dPt>
          <c:dPt>
            <c:idx val="1"/>
            <c:invertIfNegative val="0"/>
            <c:bubble3D val="0"/>
            <c:spPr>
              <a:solidFill>
                <a:srgbClr val="05A34B"/>
              </a:solidFill>
              <a:ln w="25400">
                <a:solidFill>
                  <a:schemeClr val="bg1"/>
                </a:solidFill>
              </a:ln>
              <a:effectLst/>
            </c:spPr>
            <c:extLst>
              <c:ext xmlns:c16="http://schemas.microsoft.com/office/drawing/2014/chart" uri="{C3380CC4-5D6E-409C-BE32-E72D297353CC}">
                <c16:uniqueId val="{00000003-E71F-5244-8A8E-00E89E539500}"/>
              </c:ext>
            </c:extLst>
          </c:dPt>
          <c:dPt>
            <c:idx val="2"/>
            <c:invertIfNegative val="0"/>
            <c:bubble3D val="0"/>
            <c:spPr>
              <a:solidFill>
                <a:srgbClr val="0C6B32"/>
              </a:solidFill>
              <a:ln w="25400">
                <a:solidFill>
                  <a:schemeClr val="bg1"/>
                </a:solidFill>
              </a:ln>
              <a:effectLst/>
            </c:spPr>
            <c:extLst>
              <c:ext xmlns:c16="http://schemas.microsoft.com/office/drawing/2014/chart" uri="{C3380CC4-5D6E-409C-BE32-E72D297353CC}">
                <c16:uniqueId val="{00000002-E71F-5244-8A8E-00E89E5395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E71F-5244-8A8E-00E89E539500}"/>
            </c:ext>
          </c:extLst>
        </c:ser>
        <c:dLbls>
          <c:dLblPos val="outEnd"/>
          <c:showLegendKey val="0"/>
          <c:showVal val="1"/>
          <c:showCatName val="0"/>
          <c:showSerName val="0"/>
          <c:showPercent val="0"/>
          <c:showBubbleSize val="0"/>
        </c:dLbls>
        <c:gapWidth val="182"/>
        <c:axId val="2125705471"/>
        <c:axId val="2125697855"/>
      </c:barChart>
      <c:catAx>
        <c:axId val="212570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2125697855"/>
        <c:crosses val="autoZero"/>
        <c:auto val="1"/>
        <c:lblAlgn val="ctr"/>
        <c:lblOffset val="100"/>
        <c:noMultiLvlLbl val="0"/>
      </c:catAx>
      <c:valAx>
        <c:axId val="2125697855"/>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212570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AFFB"/>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[coffeeOrdersData.xlsx]Top5Customers!TotalSalesPivot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C6B32"/>
          </a:solidFill>
          <a:ln w="25400">
            <a:solidFill>
              <a:schemeClr val="bg1"/>
            </a:solidFill>
          </a:ln>
          <a:effectLst/>
        </c:spPr>
      </c:pivotFmt>
      <c:pivotFmt>
        <c:idx val="2"/>
        <c:spPr>
          <a:solidFill>
            <a:srgbClr val="05A34B"/>
          </a:solidFill>
          <a:ln w="25400">
            <a:solidFill>
              <a:schemeClr val="bg1"/>
            </a:solidFill>
          </a:ln>
          <a:effectLst/>
        </c:spPr>
      </c:pivotFmt>
      <c:pivotFmt>
        <c:idx val="3"/>
        <c:spPr>
          <a:solidFill>
            <a:srgbClr val="00FC00"/>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C00"/>
          </a:solidFill>
          <a:ln w="25400">
            <a:solidFill>
              <a:schemeClr val="bg1"/>
            </a:solidFill>
          </a:ln>
          <a:effectLst/>
        </c:spPr>
      </c:pivotFmt>
      <c:pivotFmt>
        <c:idx val="6"/>
        <c:spPr>
          <a:solidFill>
            <a:srgbClr val="05A34B"/>
          </a:solidFill>
          <a:ln w="25400">
            <a:solidFill>
              <a:schemeClr val="bg1"/>
            </a:solidFill>
          </a:ln>
          <a:effectLst/>
        </c:spPr>
      </c:pivotFmt>
      <c:pivotFmt>
        <c:idx val="7"/>
        <c:spPr>
          <a:solidFill>
            <a:srgbClr val="0C6B32"/>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C00"/>
          </a:solidFill>
          <a:ln w="25400">
            <a:solidFill>
              <a:schemeClr val="bg1"/>
            </a:solidFill>
          </a:ln>
          <a:effectLst/>
        </c:spPr>
      </c:pivotFmt>
      <c:pivotFmt>
        <c:idx val="10"/>
        <c:spPr>
          <a:solidFill>
            <a:srgbClr val="05A34B"/>
          </a:solidFill>
          <a:ln w="25400">
            <a:solidFill>
              <a:schemeClr val="bg1"/>
            </a:solidFill>
          </a:ln>
          <a:effectLst/>
        </c:spPr>
      </c:pivotFmt>
      <c:pivotFmt>
        <c:idx val="11"/>
        <c:spPr>
          <a:solidFill>
            <a:srgbClr val="0C6B32"/>
          </a:solidFill>
          <a:ln w="25400">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7-0813-3348-87E7-C66A92E5C9C3}"/>
            </c:ext>
          </c:extLst>
        </c:ser>
        <c:dLbls>
          <c:dLblPos val="outEnd"/>
          <c:showLegendKey val="0"/>
          <c:showVal val="1"/>
          <c:showCatName val="0"/>
          <c:showSerName val="0"/>
          <c:showPercent val="0"/>
          <c:showBubbleSize val="0"/>
        </c:dLbls>
        <c:gapWidth val="182"/>
        <c:axId val="2125705471"/>
        <c:axId val="2125697855"/>
      </c:barChart>
      <c:catAx>
        <c:axId val="212570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2125697855"/>
        <c:crosses val="autoZero"/>
        <c:auto val="1"/>
        <c:lblAlgn val="ctr"/>
        <c:lblOffset val="100"/>
        <c:noMultiLvlLbl val="0"/>
      </c:catAx>
      <c:valAx>
        <c:axId val="2125697855"/>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212570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AFFB"/>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[coffeeOrdersData.xlsx]CountryBarChart!TotalSalesPivot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C6B32"/>
          </a:solidFill>
          <a:ln w="25400">
            <a:solidFill>
              <a:schemeClr val="bg1"/>
            </a:solidFill>
          </a:ln>
          <a:effectLst/>
        </c:spPr>
      </c:pivotFmt>
      <c:pivotFmt>
        <c:idx val="2"/>
        <c:spPr>
          <a:solidFill>
            <a:srgbClr val="05A34B"/>
          </a:solidFill>
          <a:ln w="25400">
            <a:solidFill>
              <a:schemeClr val="bg1"/>
            </a:solidFill>
          </a:ln>
          <a:effectLst/>
        </c:spPr>
      </c:pivotFmt>
      <c:pivotFmt>
        <c:idx val="3"/>
        <c:spPr>
          <a:solidFill>
            <a:srgbClr val="00FC00"/>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C00"/>
          </a:solidFill>
          <a:ln w="25400">
            <a:solidFill>
              <a:schemeClr val="bg1"/>
            </a:solidFill>
          </a:ln>
          <a:effectLst/>
        </c:spPr>
      </c:pivotFmt>
      <c:pivotFmt>
        <c:idx val="6"/>
        <c:spPr>
          <a:solidFill>
            <a:srgbClr val="05A34B"/>
          </a:solidFill>
          <a:ln w="25400">
            <a:solidFill>
              <a:schemeClr val="bg1"/>
            </a:solidFill>
          </a:ln>
          <a:effectLst/>
        </c:spPr>
      </c:pivotFmt>
      <c:pivotFmt>
        <c:idx val="7"/>
        <c:spPr>
          <a:solidFill>
            <a:srgbClr val="0C6B32"/>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C00"/>
          </a:solidFill>
          <a:ln w="25400">
            <a:solidFill>
              <a:schemeClr val="bg1"/>
            </a:solidFill>
          </a:ln>
          <a:effectLst/>
        </c:spPr>
      </c:pivotFmt>
      <c:pivotFmt>
        <c:idx val="10"/>
        <c:spPr>
          <a:solidFill>
            <a:srgbClr val="05A34B"/>
          </a:solidFill>
          <a:ln w="25400">
            <a:solidFill>
              <a:schemeClr val="bg1"/>
            </a:solidFill>
          </a:ln>
          <a:effectLst/>
        </c:spPr>
      </c:pivotFmt>
      <c:pivotFmt>
        <c:idx val="11"/>
        <c:spPr>
          <a:solidFill>
            <a:srgbClr val="0C6B32"/>
          </a:solidFill>
          <a:ln w="25400">
            <a:solidFill>
              <a:schemeClr val="bg1"/>
            </a:solidFill>
          </a:ln>
          <a:effectLst/>
        </c:spPr>
      </c:pivotFmt>
    </c:pivotFmts>
    <c:plotArea>
      <c:layout>
        <c:manualLayout>
          <c:layoutTarget val="inner"/>
          <c:xMode val="edge"/>
          <c:yMode val="edge"/>
          <c:x val="0.10882622090831315"/>
          <c:y val="0.21695876288659793"/>
          <c:w val="0.8410037505314556"/>
          <c:h val="0.68923573341992039"/>
        </c:manualLayout>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00FC00"/>
              </a:solidFill>
              <a:ln w="25400">
                <a:solidFill>
                  <a:schemeClr val="bg1"/>
                </a:solidFill>
              </a:ln>
              <a:effectLst/>
            </c:spPr>
            <c:extLst>
              <c:ext xmlns:c16="http://schemas.microsoft.com/office/drawing/2014/chart" uri="{C3380CC4-5D6E-409C-BE32-E72D297353CC}">
                <c16:uniqueId val="{00000001-D45A-E34D-9CF2-8C2B3930926E}"/>
              </c:ext>
            </c:extLst>
          </c:dPt>
          <c:dPt>
            <c:idx val="1"/>
            <c:invertIfNegative val="0"/>
            <c:bubble3D val="0"/>
            <c:spPr>
              <a:solidFill>
                <a:srgbClr val="05A34B"/>
              </a:solidFill>
              <a:ln w="25400">
                <a:solidFill>
                  <a:schemeClr val="bg1"/>
                </a:solidFill>
              </a:ln>
              <a:effectLst/>
            </c:spPr>
            <c:extLst>
              <c:ext xmlns:c16="http://schemas.microsoft.com/office/drawing/2014/chart" uri="{C3380CC4-5D6E-409C-BE32-E72D297353CC}">
                <c16:uniqueId val="{00000003-D45A-E34D-9CF2-8C2B3930926E}"/>
              </c:ext>
            </c:extLst>
          </c:dPt>
          <c:dPt>
            <c:idx val="2"/>
            <c:invertIfNegative val="0"/>
            <c:bubble3D val="0"/>
            <c:spPr>
              <a:solidFill>
                <a:srgbClr val="0C6B32"/>
              </a:solidFill>
              <a:ln w="25400">
                <a:solidFill>
                  <a:schemeClr val="bg1"/>
                </a:solidFill>
              </a:ln>
              <a:effectLst/>
            </c:spPr>
            <c:extLst>
              <c:ext xmlns:c16="http://schemas.microsoft.com/office/drawing/2014/chart" uri="{C3380CC4-5D6E-409C-BE32-E72D297353CC}">
                <c16:uniqueId val="{00000005-D45A-E34D-9CF2-8C2B393092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45A-E34D-9CF2-8C2B3930926E}"/>
            </c:ext>
          </c:extLst>
        </c:ser>
        <c:dLbls>
          <c:dLblPos val="outEnd"/>
          <c:showLegendKey val="0"/>
          <c:showVal val="1"/>
          <c:showCatName val="0"/>
          <c:showSerName val="0"/>
          <c:showPercent val="0"/>
          <c:showBubbleSize val="0"/>
        </c:dLbls>
        <c:gapWidth val="182"/>
        <c:axId val="2125705471"/>
        <c:axId val="2125697855"/>
      </c:barChart>
      <c:catAx>
        <c:axId val="212570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2125697855"/>
        <c:crosses val="autoZero"/>
        <c:auto val="1"/>
        <c:lblAlgn val="ctr"/>
        <c:lblOffset val="100"/>
        <c:noMultiLvlLbl val="0"/>
      </c:catAx>
      <c:valAx>
        <c:axId val="2125697855"/>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212570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AFFB"/>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[coffeeOrdersData.xlsx]Top5Customers!TotalSalesPivot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C6B32"/>
          </a:solidFill>
          <a:ln w="25400">
            <a:solidFill>
              <a:schemeClr val="bg1"/>
            </a:solidFill>
          </a:ln>
          <a:effectLst/>
        </c:spPr>
      </c:pivotFmt>
      <c:pivotFmt>
        <c:idx val="2"/>
        <c:spPr>
          <a:solidFill>
            <a:srgbClr val="05A34B"/>
          </a:solidFill>
          <a:ln w="25400">
            <a:solidFill>
              <a:schemeClr val="bg1"/>
            </a:solidFill>
          </a:ln>
          <a:effectLst/>
        </c:spPr>
      </c:pivotFmt>
      <c:pivotFmt>
        <c:idx val="3"/>
        <c:spPr>
          <a:solidFill>
            <a:srgbClr val="00FC00"/>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C00"/>
          </a:solidFill>
          <a:ln w="25400">
            <a:solidFill>
              <a:schemeClr val="bg1"/>
            </a:solidFill>
          </a:ln>
          <a:effectLst/>
        </c:spPr>
      </c:pivotFmt>
      <c:pivotFmt>
        <c:idx val="6"/>
        <c:spPr>
          <a:solidFill>
            <a:srgbClr val="05A34B"/>
          </a:solidFill>
          <a:ln w="25400">
            <a:solidFill>
              <a:schemeClr val="bg1"/>
            </a:solidFill>
          </a:ln>
          <a:effectLst/>
        </c:spPr>
      </c:pivotFmt>
      <c:pivotFmt>
        <c:idx val="7"/>
        <c:spPr>
          <a:solidFill>
            <a:srgbClr val="0C6B32"/>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C00"/>
          </a:solidFill>
          <a:ln w="25400">
            <a:solidFill>
              <a:schemeClr val="bg1"/>
            </a:solidFill>
          </a:ln>
          <a:effectLst/>
        </c:spPr>
      </c:pivotFmt>
      <c:pivotFmt>
        <c:idx val="10"/>
        <c:spPr>
          <a:solidFill>
            <a:srgbClr val="05A34B"/>
          </a:solidFill>
          <a:ln w="25400">
            <a:solidFill>
              <a:schemeClr val="bg1"/>
            </a:solidFill>
          </a:ln>
          <a:effectLst/>
        </c:spPr>
      </c:pivotFmt>
      <c:pivotFmt>
        <c:idx val="11"/>
        <c:spPr>
          <a:solidFill>
            <a:srgbClr val="0C6B32"/>
          </a:solidFill>
          <a:ln w="25400">
            <a:solidFill>
              <a:schemeClr val="bg1"/>
            </a:solidFill>
          </a:ln>
          <a:effectLst/>
        </c:spPr>
      </c:pivotFmt>
      <c:pivotFmt>
        <c:idx val="12"/>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17BC-024B-993F-D50F1246F08D}"/>
            </c:ext>
          </c:extLst>
        </c:ser>
        <c:dLbls>
          <c:dLblPos val="outEnd"/>
          <c:showLegendKey val="0"/>
          <c:showVal val="1"/>
          <c:showCatName val="0"/>
          <c:showSerName val="0"/>
          <c:showPercent val="0"/>
          <c:showBubbleSize val="0"/>
        </c:dLbls>
        <c:gapWidth val="182"/>
        <c:axId val="2125705471"/>
        <c:axId val="2125697855"/>
      </c:barChart>
      <c:catAx>
        <c:axId val="212570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2125697855"/>
        <c:crosses val="autoZero"/>
        <c:auto val="1"/>
        <c:lblAlgn val="ctr"/>
        <c:lblOffset val="100"/>
        <c:noMultiLvlLbl val="0"/>
      </c:catAx>
      <c:valAx>
        <c:axId val="2125697855"/>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212570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AFFB"/>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[coffeeOrdersData.xlsx]TotalSales!TotalSalesPivot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FF0000"/>
              </a:solidFill>
              <a:round/>
            </a:ln>
            <a:effectLst/>
          </c:spPr>
          <c:marker>
            <c:symbol val="none"/>
          </c:marker>
          <c:cat>
            <c:multiLvlStrRef>
              <c:f>TotalSales!$A$5:$B$5</c:f>
              <c:multiLvlStrCache>
                <c:ptCount val="1"/>
                <c:lvl>
                  <c:pt idx="0">
                    <c:v>Jun</c:v>
                  </c:pt>
                </c:lvl>
                <c:lvl>
                  <c:pt idx="0">
                    <c:v>2019</c:v>
                  </c:pt>
                </c:lvl>
              </c:multiLvlStrCache>
            </c:multiLvlStrRef>
          </c:cat>
          <c:val>
            <c:numRef>
              <c:f>TotalSales!$C$5</c:f>
              <c:numCache>
                <c:formatCode>#,##0_);\(#,##0\)</c:formatCode>
                <c:ptCount val="1"/>
                <c:pt idx="0">
                  <c:v>7.77</c:v>
                </c:pt>
              </c:numCache>
            </c:numRef>
          </c:val>
          <c:smooth val="0"/>
          <c:extLst>
            <c:ext xmlns:c16="http://schemas.microsoft.com/office/drawing/2014/chart" uri="{C3380CC4-5D6E-409C-BE32-E72D297353CC}">
              <c16:uniqueId val="{00000000-A57A-7A42-8414-A6FB22CF4FF8}"/>
            </c:ext>
          </c:extLst>
        </c:ser>
        <c:ser>
          <c:idx val="1"/>
          <c:order val="1"/>
          <c:tx>
            <c:strRef>
              <c:f>TotalSales!$D$3:$D$4</c:f>
              <c:strCache>
                <c:ptCount val="1"/>
                <c:pt idx="0">
                  <c:v>Excelsa</c:v>
                </c:pt>
              </c:strCache>
            </c:strRef>
          </c:tx>
          <c:spPr>
            <a:ln w="28575" cap="rnd">
              <a:solidFill>
                <a:schemeClr val="tx1">
                  <a:lumMod val="85000"/>
                  <a:lumOff val="15000"/>
                </a:schemeClr>
              </a:solidFill>
              <a:round/>
            </a:ln>
            <a:effectLst/>
          </c:spPr>
          <c:marker>
            <c:symbol val="none"/>
          </c:marker>
          <c:cat>
            <c:multiLvlStrRef>
              <c:f>TotalSales!$A$5:$B$5</c:f>
              <c:multiLvlStrCache>
                <c:ptCount val="1"/>
                <c:lvl>
                  <c:pt idx="0">
                    <c:v>Jun</c:v>
                  </c:pt>
                </c:lvl>
                <c:lvl>
                  <c:pt idx="0">
                    <c:v>2019</c:v>
                  </c:pt>
                </c:lvl>
              </c:multiLvlStrCache>
            </c:multiLvlStrRef>
          </c:cat>
          <c:val>
            <c:numRef>
              <c:f>TotalSales!$D$5</c:f>
              <c:numCache>
                <c:formatCode>#,##0_);\(#,##0\)</c:formatCode>
                <c:ptCount val="1"/>
                <c:pt idx="0">
                  <c:v>341.54999999999995</c:v>
                </c:pt>
              </c:numCache>
            </c:numRef>
          </c:val>
          <c:smooth val="0"/>
          <c:extLst>
            <c:ext xmlns:c16="http://schemas.microsoft.com/office/drawing/2014/chart" uri="{C3380CC4-5D6E-409C-BE32-E72D297353CC}">
              <c16:uniqueId val="{00000001-A57A-7A42-8414-A6FB22CF4FF8}"/>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TotalSales!$A$5:$B$5</c:f>
              <c:multiLvlStrCache>
                <c:ptCount val="1"/>
                <c:lvl>
                  <c:pt idx="0">
                    <c:v>Jun</c:v>
                  </c:pt>
                </c:lvl>
                <c:lvl>
                  <c:pt idx="0">
                    <c:v>2019</c:v>
                  </c:pt>
                </c:lvl>
              </c:multiLvlStrCache>
            </c:multiLvlStrRef>
          </c:cat>
          <c:val>
            <c:numRef>
              <c:f>TotalSales!$E$5</c:f>
              <c:numCache>
                <c:formatCode>#,##0_);\(#,##0\)</c:formatCode>
                <c:ptCount val="1"/>
                <c:pt idx="0">
                  <c:v>38.04</c:v>
                </c:pt>
              </c:numCache>
            </c:numRef>
          </c:val>
          <c:smooth val="0"/>
          <c:extLst>
            <c:ext xmlns:c16="http://schemas.microsoft.com/office/drawing/2014/chart" uri="{C3380CC4-5D6E-409C-BE32-E72D297353CC}">
              <c16:uniqueId val="{00000002-A57A-7A42-8414-A6FB22CF4FF8}"/>
            </c:ext>
          </c:extLst>
        </c:ser>
        <c:ser>
          <c:idx val="3"/>
          <c:order val="3"/>
          <c:tx>
            <c:strRef>
              <c:f>TotalSales!$F$3:$F$4</c:f>
              <c:strCache>
                <c:ptCount val="1"/>
                <c:pt idx="0">
                  <c:v>Robusta</c:v>
                </c:pt>
              </c:strCache>
            </c:strRef>
          </c:tx>
          <c:spPr>
            <a:ln w="28575" cap="rnd">
              <a:solidFill>
                <a:srgbClr val="0070C0"/>
              </a:solidFill>
              <a:round/>
            </a:ln>
            <a:effectLst/>
          </c:spPr>
          <c:marker>
            <c:symbol val="none"/>
          </c:marker>
          <c:cat>
            <c:multiLvlStrRef>
              <c:f>TotalSales!$A$5:$B$5</c:f>
              <c:multiLvlStrCache>
                <c:ptCount val="1"/>
                <c:lvl>
                  <c:pt idx="0">
                    <c:v>Jun</c:v>
                  </c:pt>
                </c:lvl>
                <c:lvl>
                  <c:pt idx="0">
                    <c:v>2019</c:v>
                  </c:pt>
                </c:lvl>
              </c:multiLvlStrCache>
            </c:multiLvlStrRef>
          </c:cat>
          <c:val>
            <c:numRef>
              <c:f>TotalSales!$F$5</c:f>
              <c:numCache>
                <c:formatCode>#,##0_);\(#,##0\)</c:formatCode>
                <c:ptCount val="1"/>
                <c:pt idx="0">
                  <c:v>155.34999999999997</c:v>
                </c:pt>
              </c:numCache>
            </c:numRef>
          </c:val>
          <c:smooth val="0"/>
          <c:extLst>
            <c:ext xmlns:c16="http://schemas.microsoft.com/office/drawing/2014/chart" uri="{C3380CC4-5D6E-409C-BE32-E72D297353CC}">
              <c16:uniqueId val="{00000003-A57A-7A42-8414-A6FB22CF4FF8}"/>
            </c:ext>
          </c:extLst>
        </c:ser>
        <c:dLbls>
          <c:showLegendKey val="0"/>
          <c:showVal val="0"/>
          <c:showCatName val="0"/>
          <c:showSerName val="0"/>
          <c:showPercent val="0"/>
          <c:showBubbleSize val="0"/>
        </c:dLbls>
        <c:smooth val="0"/>
        <c:axId val="88429376"/>
        <c:axId val="117243200"/>
      </c:lineChart>
      <c:catAx>
        <c:axId val="8842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17243200"/>
        <c:crosses val="autoZero"/>
        <c:auto val="1"/>
        <c:lblAlgn val="ctr"/>
        <c:lblOffset val="100"/>
        <c:noMultiLvlLbl val="0"/>
      </c:catAx>
      <c:valAx>
        <c:axId val="11724320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8842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AFFB"/>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177800</xdr:colOff>
      <xdr:row>15</xdr:row>
      <xdr:rowOff>31750</xdr:rowOff>
    </xdr:from>
    <xdr:to>
      <xdr:col>21</xdr:col>
      <xdr:colOff>35300</xdr:colOff>
      <xdr:row>40</xdr:row>
      <xdr:rowOff>100450</xdr:rowOff>
    </xdr:to>
    <xdr:graphicFrame macro="">
      <xdr:nvGraphicFramePr>
        <xdr:cNvPr id="2" name="Chart 1">
          <a:extLst>
            <a:ext uri="{FF2B5EF4-FFF2-40B4-BE49-F238E27FC236}">
              <a16:creationId xmlns:a16="http://schemas.microsoft.com/office/drawing/2014/main" id="{C08CF483-3BF3-81CF-336B-0786EAB95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177800</xdr:colOff>
      <xdr:row>5</xdr:row>
      <xdr:rowOff>92075</xdr:rowOff>
    </xdr:from>
    <xdr:to>
      <xdr:col>21</xdr:col>
      <xdr:colOff>35300</xdr:colOff>
      <xdr:row>14</xdr:row>
      <xdr:rowOff>177575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BD2D3539-E62C-039B-D17B-4A21043EDF5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562600" y="1044575"/>
              <a:ext cx="12240000" cy="1800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38100</xdr:colOff>
      <xdr:row>10</xdr:row>
      <xdr:rowOff>50800</xdr:rowOff>
    </xdr:from>
    <xdr:to>
      <xdr:col>22</xdr:col>
      <xdr:colOff>652600</xdr:colOff>
      <xdr:row>15</xdr:row>
      <xdr:rowOff>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3A84AF6F-6377-8721-2D3C-75A30A28185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7805400" y="1955800"/>
              <a:ext cx="1440000" cy="9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50800</xdr:colOff>
      <xdr:row>5</xdr:row>
      <xdr:rowOff>103924</xdr:rowOff>
    </xdr:from>
    <xdr:to>
      <xdr:col>24</xdr:col>
      <xdr:colOff>454300</xdr:colOff>
      <xdr:row>10</xdr:row>
      <xdr:rowOff>51424</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21A725B0-C19A-3FF3-027C-45E3D9EA496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7818100" y="1056424"/>
              <a:ext cx="2880000" cy="90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660400</xdr:colOff>
      <xdr:row>10</xdr:row>
      <xdr:rowOff>50801</xdr:rowOff>
    </xdr:from>
    <xdr:to>
      <xdr:col>24</xdr:col>
      <xdr:colOff>449400</xdr:colOff>
      <xdr:row>14</xdr:row>
      <xdr:rowOff>188801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F196172C-D7C5-BC23-0C47-A1F90824C05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9253200" y="1955801"/>
              <a:ext cx="1440000" cy="90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850900</xdr:colOff>
      <xdr:row>2</xdr:row>
      <xdr:rowOff>38100</xdr:rowOff>
    </xdr:from>
    <xdr:to>
      <xdr:col>14</xdr:col>
      <xdr:colOff>596900</xdr:colOff>
      <xdr:row>29</xdr:row>
      <xdr:rowOff>57150</xdr:rowOff>
    </xdr:to>
    <xdr:graphicFrame macro="">
      <xdr:nvGraphicFramePr>
        <xdr:cNvPr id="7" name="Chart 6">
          <a:extLst>
            <a:ext uri="{FF2B5EF4-FFF2-40B4-BE49-F238E27FC236}">
              <a16:creationId xmlns:a16="http://schemas.microsoft.com/office/drawing/2014/main" id="{A5A1E97D-E0FA-AACD-8604-37A2A398D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850900</xdr:colOff>
      <xdr:row>2</xdr:row>
      <xdr:rowOff>38100</xdr:rowOff>
    </xdr:from>
    <xdr:to>
      <xdr:col>14</xdr:col>
      <xdr:colOff>596900</xdr:colOff>
      <xdr:row>29</xdr:row>
      <xdr:rowOff>57150</xdr:rowOff>
    </xdr:to>
    <xdr:graphicFrame macro="">
      <xdr:nvGraphicFramePr>
        <xdr:cNvPr id="2" name="Chart 1">
          <a:extLst>
            <a:ext uri="{FF2B5EF4-FFF2-40B4-BE49-F238E27FC236}">
              <a16:creationId xmlns:a16="http://schemas.microsoft.com/office/drawing/2014/main" id="{359120AD-2668-F547-969B-27BA79227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xdr:colOff>
      <xdr:row>1</xdr:row>
      <xdr:rowOff>0</xdr:rowOff>
    </xdr:from>
    <xdr:to>
      <xdr:col>25</xdr:col>
      <xdr:colOff>569176</xdr:colOff>
      <xdr:row>5</xdr:row>
      <xdr:rowOff>0</xdr:rowOff>
    </xdr:to>
    <xdr:sp macro="" textlink="">
      <xdr:nvSpPr>
        <xdr:cNvPr id="8" name="Rectangle 7">
          <a:extLst>
            <a:ext uri="{FF2B5EF4-FFF2-40B4-BE49-F238E27FC236}">
              <a16:creationId xmlns:a16="http://schemas.microsoft.com/office/drawing/2014/main" id="{960B3181-6156-76F4-55E1-0B4455FED97A}"/>
            </a:ext>
          </a:extLst>
        </xdr:cNvPr>
        <xdr:cNvSpPr/>
      </xdr:nvSpPr>
      <xdr:spPr>
        <a:xfrm>
          <a:off x="127775" y="58079"/>
          <a:ext cx="18968688" cy="743415"/>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ln>
                <a:solidFill>
                  <a:schemeClr val="bg1"/>
                </a:solidFill>
              </a:ln>
              <a:solidFill>
                <a:schemeClr val="bg1"/>
              </a:solidFill>
              <a:latin typeface="+mj-lt"/>
            </a:rPr>
            <a:t>Coffee</a:t>
          </a:r>
          <a:r>
            <a:rPr lang="en-US" sz="4800" baseline="0">
              <a:ln>
                <a:solidFill>
                  <a:schemeClr val="bg1"/>
                </a:solidFill>
              </a:ln>
              <a:solidFill>
                <a:schemeClr val="bg1"/>
              </a:solidFill>
              <a:latin typeface="+mj-lt"/>
            </a:rPr>
            <a:t> Sales Dashboard</a:t>
          </a:r>
          <a:endParaRPr lang="en-US" sz="4800">
            <a:ln>
              <a:solidFill>
                <a:schemeClr val="bg1"/>
              </a:solidFill>
            </a:ln>
            <a:solidFill>
              <a:schemeClr val="bg1"/>
            </a:solidFill>
            <a:latin typeface="+mj-lt"/>
          </a:endParaRPr>
        </a:p>
      </xdr:txBody>
    </xdr:sp>
    <xdr:clientData/>
  </xdr:twoCellAnchor>
  <xdr:twoCellAnchor>
    <xdr:from>
      <xdr:col>15</xdr:col>
      <xdr:colOff>673921</xdr:colOff>
      <xdr:row>14</xdr:row>
      <xdr:rowOff>94351</xdr:rowOff>
    </xdr:from>
    <xdr:to>
      <xdr:col>25</xdr:col>
      <xdr:colOff>569176</xdr:colOff>
      <xdr:row>26</xdr:row>
      <xdr:rowOff>39213</xdr:rowOff>
    </xdr:to>
    <xdr:graphicFrame macro="">
      <xdr:nvGraphicFramePr>
        <xdr:cNvPr id="14" name="Chart 13">
          <a:extLst>
            <a:ext uri="{FF2B5EF4-FFF2-40B4-BE49-F238E27FC236}">
              <a16:creationId xmlns:a16="http://schemas.microsoft.com/office/drawing/2014/main" id="{14F71D5E-F8C9-1141-96E9-39F7DA878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664118</xdr:colOff>
      <xdr:row>26</xdr:row>
      <xdr:rowOff>37088</xdr:rowOff>
    </xdr:from>
    <xdr:to>
      <xdr:col>25</xdr:col>
      <xdr:colOff>576866</xdr:colOff>
      <xdr:row>37</xdr:row>
      <xdr:rowOff>177492</xdr:rowOff>
    </xdr:to>
    <xdr:graphicFrame macro="">
      <xdr:nvGraphicFramePr>
        <xdr:cNvPr id="15" name="Chart 14">
          <a:extLst>
            <a:ext uri="{FF2B5EF4-FFF2-40B4-BE49-F238E27FC236}">
              <a16:creationId xmlns:a16="http://schemas.microsoft.com/office/drawing/2014/main" id="{D25A43FF-8EFB-9A4F-8494-4C3A64CC5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2548</xdr:colOff>
      <xdr:row>4</xdr:row>
      <xdr:rowOff>191492</xdr:rowOff>
    </xdr:from>
    <xdr:to>
      <xdr:col>19</xdr:col>
      <xdr:colOff>278635</xdr:colOff>
      <xdr:row>14</xdr:row>
      <xdr:rowOff>65082</xdr:rowOff>
    </xdr:to>
    <mc:AlternateContent xmlns:mc="http://schemas.openxmlformats.org/markup-compatibility/2006">
      <mc:Choice xmlns:tsle="http://schemas.microsoft.com/office/drawing/2012/timeslicer" Requires="tsle">
        <xdr:graphicFrame macro="">
          <xdr:nvGraphicFramePr>
            <xdr:cNvPr id="17" name="Order Date 4">
              <a:extLst>
                <a:ext uri="{FF2B5EF4-FFF2-40B4-BE49-F238E27FC236}">
                  <a16:creationId xmlns:a16="http://schemas.microsoft.com/office/drawing/2014/main" id="{5C95057F-08F7-4B88-5451-A289C8DD05EC}"/>
                </a:ext>
              </a:extLst>
            </xdr:cNvPr>
            <xdr:cNvGraphicFramePr/>
          </xdr:nvGraphicFramePr>
          <xdr:xfrm>
            <a:off x="0" y="0"/>
            <a:ext cx="0" cy="0"/>
          </xdr:xfrm>
          <a:graphic>
            <a:graphicData uri="http://schemas.microsoft.com/office/drawing/2012/timeslicer">
              <tsle:timeslicer xmlns:tsle="http://schemas.microsoft.com/office/drawing/2012/timeslicer" name="Order Date 4"/>
            </a:graphicData>
          </a:graphic>
        </xdr:graphicFrame>
      </mc:Choice>
      <mc:Fallback>
        <xdr:sp macro="" textlink="">
          <xdr:nvSpPr>
            <xdr:cNvPr id="0" name=""/>
            <xdr:cNvSpPr>
              <a:spLocks noTextEdit="1"/>
            </xdr:cNvSpPr>
          </xdr:nvSpPr>
          <xdr:spPr>
            <a:xfrm>
              <a:off x="122979" y="804595"/>
              <a:ext cx="14070915" cy="173479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117725</xdr:colOff>
      <xdr:row>14</xdr:row>
      <xdr:rowOff>90346</xdr:rowOff>
    </xdr:from>
    <xdr:to>
      <xdr:col>15</xdr:col>
      <xdr:colOff>675058</xdr:colOff>
      <xdr:row>37</xdr:row>
      <xdr:rowOff>179154</xdr:rowOff>
    </xdr:to>
    <xdr:graphicFrame macro="">
      <xdr:nvGraphicFramePr>
        <xdr:cNvPr id="19" name="Chart 18">
          <a:extLst>
            <a:ext uri="{FF2B5EF4-FFF2-40B4-BE49-F238E27FC236}">
              <a16:creationId xmlns:a16="http://schemas.microsoft.com/office/drawing/2014/main" id="{352E3217-158A-8F76-B797-2B9719F96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758899</xdr:colOff>
      <xdr:row>8</xdr:row>
      <xdr:rowOff>174874</xdr:rowOff>
    </xdr:from>
    <xdr:to>
      <xdr:col>25</xdr:col>
      <xdr:colOff>574523</xdr:colOff>
      <xdr:row>14</xdr:row>
      <xdr:rowOff>107023</xdr:rowOff>
    </xdr:to>
    <mc:AlternateContent xmlns:mc="http://schemas.openxmlformats.org/markup-compatibility/2006">
      <mc:Choice xmlns:a14="http://schemas.microsoft.com/office/drawing/2010/main" Requires="a14">
        <xdr:graphicFrame macro="">
          <xdr:nvGraphicFramePr>
            <xdr:cNvPr id="20" name="Size 2">
              <a:extLst>
                <a:ext uri="{FF2B5EF4-FFF2-40B4-BE49-F238E27FC236}">
                  <a16:creationId xmlns:a16="http://schemas.microsoft.com/office/drawing/2014/main" id="{1868006E-D83E-636F-B9A8-B80BC605C0BD}"/>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16973296" y="1532460"/>
              <a:ext cx="2114761" cy="1048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291071</xdr:colOff>
      <xdr:row>5</xdr:row>
      <xdr:rowOff>20786</xdr:rowOff>
    </xdr:from>
    <xdr:to>
      <xdr:col>25</xdr:col>
      <xdr:colOff>574752</xdr:colOff>
      <xdr:row>8</xdr:row>
      <xdr:rowOff>174476</xdr:rowOff>
    </xdr:to>
    <mc:AlternateContent xmlns:mc="http://schemas.openxmlformats.org/markup-compatibility/2006">
      <mc:Choice xmlns:a14="http://schemas.microsoft.com/office/drawing/2010/main" Requires="a14">
        <xdr:graphicFrame macro="">
          <xdr:nvGraphicFramePr>
            <xdr:cNvPr id="21" name="Roast Type Name 2">
              <a:extLst>
                <a:ext uri="{FF2B5EF4-FFF2-40B4-BE49-F238E27FC236}">
                  <a16:creationId xmlns:a16="http://schemas.microsoft.com/office/drawing/2014/main" id="{84A771E7-82D3-EC60-0094-8F902F97435D}"/>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dr:sp macro="" textlink="">
          <xdr:nvSpPr>
            <xdr:cNvPr id="0" name=""/>
            <xdr:cNvSpPr>
              <a:spLocks noTextEdit="1"/>
            </xdr:cNvSpPr>
          </xdr:nvSpPr>
          <xdr:spPr>
            <a:xfrm>
              <a:off x="14206330" y="820010"/>
              <a:ext cx="4881956" cy="7120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301490</xdr:colOff>
      <xdr:row>8</xdr:row>
      <xdr:rowOff>177955</xdr:rowOff>
    </xdr:from>
    <xdr:to>
      <xdr:col>23</xdr:col>
      <xdr:colOff>6995</xdr:colOff>
      <xdr:row>14</xdr:row>
      <xdr:rowOff>107024</xdr:rowOff>
    </xdr:to>
    <mc:AlternateContent xmlns:mc="http://schemas.openxmlformats.org/markup-compatibility/2006">
      <mc:Choice xmlns:a14="http://schemas.microsoft.com/office/drawing/2010/main" Requires="a14">
        <xdr:graphicFrame macro="">
          <xdr:nvGraphicFramePr>
            <xdr:cNvPr id="22" name="Loyalty Card 2">
              <a:extLst>
                <a:ext uri="{FF2B5EF4-FFF2-40B4-BE49-F238E27FC236}">
                  <a16:creationId xmlns:a16="http://schemas.microsoft.com/office/drawing/2014/main" id="{B55F61B4-B12F-5FCD-DB98-F3256CC2842C}"/>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14216749" y="1535541"/>
              <a:ext cx="2771022" cy="1045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fe Taşdelen" refreshedDate="45962.95931435185" createdVersion="8" refreshedVersion="8" minRefreshableVersion="3" recordCount="1000" xr:uid="{C6AE1A2C-D81C-2F45-9EAD-14905CB2CAC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2.01.2019"/>
          <s v="2019"/>
          <s v="2020"/>
          <s v="2021"/>
          <s v="2022"/>
          <s v="&gt;20.08.2022"/>
        </groupItems>
      </fieldGroup>
    </cacheField>
  </cacheFields>
  <extLst>
    <ext xmlns:x14="http://schemas.microsoft.com/office/spreadsheetml/2009/9/main" uri="{725AE2AE-9491-48be-B2B4-4EB974FC3084}">
      <x14:pivotCacheDefinition pivotCacheId="728116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5CDCB2-540A-4742-B306-327DA29B2905}" name="TotalSalesPivo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5"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
    <i>
      <x v="1"/>
      <x v="6"/>
    </i>
  </rowItems>
  <colFields count="1">
    <field x="13"/>
  </colFields>
  <colItems count="4">
    <i>
      <x/>
    </i>
    <i>
      <x v="1"/>
    </i>
    <i>
      <x v="2"/>
    </i>
    <i>
      <x v="3"/>
    </i>
  </colItems>
  <dataFields count="1">
    <dataField name="Sum of Sales" fld="12" baseField="0" baseItem="0" numFmtId="37"/>
  </dataFields>
  <chartFormats count="2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 chart="9" format="12" series="1">
      <pivotArea type="data" outline="0" fieldPosition="0">
        <references count="2">
          <reference field="4294967294" count="1" selected="0">
            <x v="0"/>
          </reference>
          <reference field="13" count="1" selected="0">
            <x v="0"/>
          </reference>
        </references>
      </pivotArea>
    </chartFormat>
    <chartFormat chart="9" format="13" series="1">
      <pivotArea type="data" outline="0" fieldPosition="0">
        <references count="2">
          <reference field="4294967294" count="1" selected="0">
            <x v="0"/>
          </reference>
          <reference field="13" count="1" selected="0">
            <x v="1"/>
          </reference>
        </references>
      </pivotArea>
    </chartFormat>
    <chartFormat chart="9" format="14" series="1">
      <pivotArea type="data" outline="0" fieldPosition="0">
        <references count="2">
          <reference field="4294967294" count="1" selected="0">
            <x v="0"/>
          </reference>
          <reference field="13" count="1" selected="0">
            <x v="2"/>
          </reference>
        </references>
      </pivotArea>
    </chartFormat>
    <chartFormat chart="9" format="15" series="1">
      <pivotArea type="data" outline="0" fieldPosition="0">
        <references count="2">
          <reference field="4294967294" count="1" selected="0">
            <x v="0"/>
          </reference>
          <reference field="13" count="1" selected="0">
            <x v="3"/>
          </reference>
        </references>
      </pivotArea>
    </chartFormat>
    <chartFormat chart="10" format="16" series="1">
      <pivotArea type="data" outline="0" fieldPosition="0">
        <references count="2">
          <reference field="4294967294" count="1" selected="0">
            <x v="0"/>
          </reference>
          <reference field="13" count="1" selected="0">
            <x v="0"/>
          </reference>
        </references>
      </pivotArea>
    </chartFormat>
    <chartFormat chart="10" format="17" series="1">
      <pivotArea type="data" outline="0" fieldPosition="0">
        <references count="2">
          <reference field="4294967294" count="1" selected="0">
            <x v="0"/>
          </reference>
          <reference field="13" count="1" selected="0">
            <x v="1"/>
          </reference>
        </references>
      </pivotArea>
    </chartFormat>
    <chartFormat chart="10" format="18" series="1">
      <pivotArea type="data" outline="0" fieldPosition="0">
        <references count="2">
          <reference field="4294967294" count="1" selected="0">
            <x v="0"/>
          </reference>
          <reference field="13" count="1" selected="0">
            <x v="2"/>
          </reference>
        </references>
      </pivotArea>
    </chartFormat>
    <chartFormat chart="10"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10" name="Order Date">
      <autoFilter ref="A1">
        <filterColumn colId="0">
          <customFilters and="1">
            <customFilter operator="greaterThanOrEqual" val="43617"/>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1A73E3-10F7-7947-B959-D684FBA14BD5}" name="TotalSalesPivo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2"/>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BC1BB3-44C3-B145-86B0-936C27EA5419}" name="TotalSalesPivo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5">
    <chartFormat chart="5" format="1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9196EA1-EF99-BF4D-B911-903E826C6B87}" sourceName="Size">
  <pivotTables>
    <pivotTable tabId="18" name="TotalSalesPivot"/>
  </pivotTables>
  <data>
    <tabular pivotCacheId="72811625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A74D8C5-8521-BD4C-9077-7BEE682BF8EE}" sourceName="Roast Type Name">
  <pivotTables>
    <pivotTable tabId="18" name="TotalSalesPivot"/>
  </pivotTables>
  <data>
    <tabular pivotCacheId="728116251">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33F845D-5735-1A46-8984-658C0AA6EEAC}" sourceName="Loyalty Card">
  <pivotTables>
    <pivotTable tabId="18" name="TotalSalesPivot"/>
  </pivotTables>
  <data>
    <tabular pivotCacheId="7281162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3743800-C52B-A54D-8F40-A47610A2062B}" cache="Slicer_Size" caption="Size" columnCount="2" style="SlicerStyleDark1" rowHeight="230400"/>
  <slicer name="Roast Type Name" xr10:uid="{1965AAC6-022B-C643-9B2D-CFA5B9595E83}" cache="Slicer_Roast_Type_Name" caption="Roast Type Name" columnCount="3" style="SlicerStyleDark1" rowHeight="230716"/>
  <slicer name="Loyalty Card" xr10:uid="{B93CAE66-3613-F245-84C3-C59840F49514}" cache="Slicer_Loyalty_Card" caption="Loyalty Card"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25C6A2A6-378A-C84F-B1FD-09A092A441B4}" cache="Slicer_Size" caption="Size" columnCount="2" style="Slicer Style 1" rowHeight="230400"/>
  <slicer name="Roast Type Name 2" xr10:uid="{371E6257-173A-E24E-9F4D-8B962D7BC909}" cache="Slicer_Roast_Type_Name" caption="Roast Type Name" columnCount="3" style="Slicer Style 1" rowHeight="230716"/>
  <slicer name="Loyalty Card 2" xr10:uid="{F6E4C569-C217-1D4D-A7DC-D6BD53DC5C71}" cache="Slicer_Loyalty_Card" caption="Loyalty Card" style="Slicer Style 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F714FE-5DCF-1F49-B71B-161F12409DB5}" name="Orders" displayName="Orders" ref="A1:P1001" totalsRowShown="0" headerRowDxfId="17">
  <autoFilter ref="A1:P1001" xr:uid="{EDF714FE-5DCF-1F49-B71B-161F12409DB5}"/>
  <tableColumns count="16">
    <tableColumn id="1" xr3:uid="{37EAA47D-A3D4-3A40-9A9C-9168F650B608}" name="Order ID" dataDxfId="16"/>
    <tableColumn id="2" xr3:uid="{89C52B26-7A54-D049-B4DE-4CECB7BAAA70}" name="Order Date" dataDxfId="15"/>
    <tableColumn id="3" xr3:uid="{96C8DFEF-7475-E144-AE77-DFEC8B54237E}" name="Customer ID" dataDxfId="14"/>
    <tableColumn id="4" xr3:uid="{AE4A90F0-9AFD-C947-9DBC-8956D367D456}" name="Product ID"/>
    <tableColumn id="5" xr3:uid="{1BE2048F-5905-3249-B01A-A7DCA99CD782}" name="Quantity" dataDxfId="13"/>
    <tableColumn id="6" xr3:uid="{059EF643-7E9B-4D44-B2ED-B35964E2FF8D}" name="Customer Name" dataDxfId="12">
      <calculatedColumnFormula>_xlfn.XLOOKUP(orders!C2,customers!$A$2:$A$1001,customers!$B$2:$B$1001)</calculatedColumnFormula>
    </tableColumn>
    <tableColumn id="7" xr3:uid="{B614C7FA-EE2B-2342-9652-95F9AFDC7B55}" name="Email" dataDxfId="11">
      <calculatedColumnFormula>IF(_xlfn.XLOOKUP(C2,customers!$A$2:$A$1001,customers!$C$2:$C$1001,,)=0,"",_xlfn.XLOOKUP(C2,customers!$A$2:$A$1001,customers!$C$2:$C$1001,,))</calculatedColumnFormula>
    </tableColumn>
    <tableColumn id="8" xr3:uid="{87F3F910-2709-194A-9408-3B36748203F5}" name="Country" dataDxfId="10">
      <calculatedColumnFormula>_xlfn.XLOOKUP(C2,customers!$A$2:$A$1001,customers!$G$2:$G$1001,,0)</calculatedColumnFormula>
    </tableColumn>
    <tableColumn id="9" xr3:uid="{291D3B17-88B2-F640-8375-B7F069A22E2D}" name="Coffee Type">
      <calculatedColumnFormula>INDEX(products!$A$1:$G$49,MATCH(orders!$D2,products!$A$1:$A$49,0),MATCH(orders!I$1,products!$A$1:$G$1,0))</calculatedColumnFormula>
    </tableColumn>
    <tableColumn id="10" xr3:uid="{4B05C24C-8BE2-DF4B-8C4B-249D53E44D77}" name="Roast Type">
      <calculatedColumnFormula>INDEX(products!$A$1:$G$49,MATCH(orders!$D2,products!$A$1:$A$49,0),MATCH(orders!J$1,products!$A$1:$G$1,0))</calculatedColumnFormula>
    </tableColumn>
    <tableColumn id="11" xr3:uid="{A7DB7481-FDE4-F044-8068-3016A3465927}" name="Size" dataDxfId="9">
      <calculatedColumnFormula>INDEX(products!$A$1:$G$49,MATCH(orders!$D2,products!$A$1:$A$49,0),MATCH(orders!K$1,products!$A$1:$G$1,0))</calculatedColumnFormula>
    </tableColumn>
    <tableColumn id="12" xr3:uid="{918E19C1-EFB4-334A-BADC-6699DB686FD8}" name="Unit Price" dataDxfId="8">
      <calculatedColumnFormula>INDEX(products!$A$1:$G$49,MATCH(orders!$D2,products!$A$1:$A$49,0),MATCH(orders!L$1,products!$A$1:$G$1,0))</calculatedColumnFormula>
    </tableColumn>
    <tableColumn id="13" xr3:uid="{5F765072-D0B9-A847-B24F-D7FB714D091E}" name="Sales" dataDxfId="7">
      <calculatedColumnFormula>L2*E2</calculatedColumnFormula>
    </tableColumn>
    <tableColumn id="14" xr3:uid="{996B9885-6836-3E40-BE24-8C8E176DCC0D}" name="Coffee Type Name">
      <calculatedColumnFormula array="1">_xlfn.IFS(I2="Rob","Robusta",I2="Exc","Excelsa",I2="Ara","Arabica",I2="Lib","Liberica")</calculatedColumnFormula>
    </tableColumn>
    <tableColumn id="15" xr3:uid="{97A7ECB5-9F5D-9241-B101-A323A078E2C5}" name="Roast Type Name">
      <calculatedColumnFormula array="1">_xlfn.IFS(J2="M","Medium",J2="L","Light",J2="D","Dark")</calculatedColumnFormula>
    </tableColumn>
    <tableColumn id="16" xr3:uid="{71564F16-32D7-7A4C-B76F-A4150698CC3B}" name="Loyalty Card" dataDxfId="6">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305A270-1EC5-1147-AFBC-40A683B5C42F}" sourceName="Order Date">
  <pivotTables>
    <pivotTable tabId="18" name="TotalSalesPivot"/>
  </pivotTables>
  <state minimalRefreshVersion="6" lastRefreshVersion="6" pivotCacheId="728116251" filterType="dateBetween">
    <selection startDate="2019-06-01T00:00:00" endDate="2019-06-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059C462-CF01-B04E-8073-FBF5070D98AC}" cache="NativeTimeline_Order_Date" caption="Order Date" level="2" selectionLevel="2"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4" xr10:uid="{A37D54A5-49D7-A44B-B76B-54CF542B7449}" cache="NativeTimeline_Order_Date" caption="Order Date" level="2" selectionLevel="2" scrollPosition="2019-01-01T00:00:00" style="Timeline Style 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84C4-BB29-6B42-A824-AEFACD08B9B5}">
  <dimension ref="A3:AA15"/>
  <sheetViews>
    <sheetView topLeftCell="H1" workbookViewId="0">
      <selection activeCell="X18" sqref="X18"/>
    </sheetView>
  </sheetViews>
  <sheetFormatPr defaultColWidth="11.42578125" defaultRowHeight="15" x14ac:dyDescent="0.25"/>
  <cols>
    <col min="1" max="1" width="12.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27" x14ac:dyDescent="0.25">
      <c r="A3" s="6" t="s">
        <v>6206</v>
      </c>
      <c r="C3" s="6" t="s">
        <v>6196</v>
      </c>
    </row>
    <row r="4" spans="1:27" x14ac:dyDescent="0.25">
      <c r="A4" s="6" t="s">
        <v>6200</v>
      </c>
      <c r="B4" s="6" t="s">
        <v>6201</v>
      </c>
      <c r="C4" t="s">
        <v>6202</v>
      </c>
      <c r="D4" t="s">
        <v>6203</v>
      </c>
      <c r="E4" t="s">
        <v>6204</v>
      </c>
      <c r="F4" t="s">
        <v>6205</v>
      </c>
    </row>
    <row r="5" spans="1:27" x14ac:dyDescent="0.25">
      <c r="A5" t="s">
        <v>6198</v>
      </c>
      <c r="B5" t="s">
        <v>6199</v>
      </c>
      <c r="C5" s="7">
        <v>7.77</v>
      </c>
      <c r="D5" s="7">
        <v>341.54999999999995</v>
      </c>
      <c r="E5" s="7">
        <v>38.04</v>
      </c>
      <c r="F5" s="7">
        <v>155.34999999999997</v>
      </c>
    </row>
    <row r="15" spans="1:27" x14ac:dyDescent="0.25">
      <c r="AA15" t="s">
        <v>6207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71821-0C42-A743-930E-1055FB3FCB50}">
  <dimension ref="A3:AA15"/>
  <sheetViews>
    <sheetView workbookViewId="0">
      <selection activeCell="B4" sqref="B4"/>
    </sheetView>
  </sheetViews>
  <sheetFormatPr defaultColWidth="11.42578125" defaultRowHeight="15" x14ac:dyDescent="0.25"/>
  <cols>
    <col min="1" max="1" width="13.42578125" bestFit="1" customWidth="1"/>
    <col min="2" max="2" width="10.42578125" bestFit="1" customWidth="1"/>
    <col min="3" max="3" width="17.42578125" bestFit="1" customWidth="1"/>
    <col min="4" max="4" width="6.7109375" bestFit="1" customWidth="1"/>
    <col min="5" max="6" width="7.28515625" bestFit="1" customWidth="1"/>
  </cols>
  <sheetData>
    <row r="3" spans="1:27" x14ac:dyDescent="0.25">
      <c r="A3" s="6" t="s">
        <v>7</v>
      </c>
      <c r="B3" t="s">
        <v>6206</v>
      </c>
    </row>
    <row r="4" spans="1:27" x14ac:dyDescent="0.25">
      <c r="A4" t="s">
        <v>28</v>
      </c>
      <c r="B4" s="8">
        <v>2798.5050000000001</v>
      </c>
    </row>
    <row r="5" spans="1:27" x14ac:dyDescent="0.25">
      <c r="A5" t="s">
        <v>318</v>
      </c>
      <c r="B5" s="8">
        <v>6696.8649999999989</v>
      </c>
    </row>
    <row r="6" spans="1:27" x14ac:dyDescent="0.25">
      <c r="A6" t="s">
        <v>19</v>
      </c>
      <c r="B6" s="8">
        <v>35638.88499999998</v>
      </c>
    </row>
    <row r="15" spans="1:27" x14ac:dyDescent="0.25">
      <c r="AA15" t="s">
        <v>6207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A9ED9-A590-3B45-8867-752F5BB1532B}">
  <dimension ref="A3:AA15"/>
  <sheetViews>
    <sheetView workbookViewId="0">
      <selection activeCell="K33" sqref="K33"/>
    </sheetView>
  </sheetViews>
  <sheetFormatPr defaultColWidth="11.42578125" defaultRowHeight="15" x14ac:dyDescent="0.25"/>
  <cols>
    <col min="1" max="1" width="16" bestFit="1" customWidth="1"/>
    <col min="2" max="2" width="10.42578125" bestFit="1" customWidth="1"/>
    <col min="3" max="3" width="9" bestFit="1" customWidth="1"/>
    <col min="4" max="4" width="14.7109375" bestFit="1" customWidth="1"/>
    <col min="5" max="5" width="15.28515625" bestFit="1" customWidth="1"/>
    <col min="6" max="6" width="14" bestFit="1" customWidth="1"/>
    <col min="7" max="7" width="14.140625" bestFit="1" customWidth="1"/>
    <col min="8" max="8" width="14.7109375" bestFit="1" customWidth="1"/>
    <col min="9" max="9" width="12.42578125" bestFit="1" customWidth="1"/>
    <col min="10" max="10" width="15.7109375" bestFit="1" customWidth="1"/>
    <col min="11" max="11" width="15.28515625" bestFit="1" customWidth="1"/>
    <col min="12" max="12" width="12.42578125" bestFit="1" customWidth="1"/>
    <col min="13" max="13" width="15.28515625" bestFit="1" customWidth="1"/>
    <col min="14" max="14" width="12.140625" bestFit="1" customWidth="1"/>
    <col min="15" max="15" width="13" bestFit="1" customWidth="1"/>
    <col min="16" max="16" width="14.140625" bestFit="1" customWidth="1"/>
    <col min="17" max="17" width="13.85546875" bestFit="1" customWidth="1"/>
    <col min="18" max="18" width="13" bestFit="1" customWidth="1"/>
    <col min="19" max="19" width="9.7109375" bestFit="1" customWidth="1"/>
    <col min="20" max="20" width="14.28515625" bestFit="1" customWidth="1"/>
    <col min="21" max="21" width="16.42578125" bestFit="1" customWidth="1"/>
    <col min="22" max="22" width="9.7109375" bestFit="1" customWidth="1"/>
    <col min="23" max="23" width="13.140625" bestFit="1" customWidth="1"/>
    <col min="24" max="24" width="11.7109375" bestFit="1" customWidth="1"/>
    <col min="25" max="25" width="12" bestFit="1" customWidth="1"/>
    <col min="26" max="26" width="8" bestFit="1" customWidth="1"/>
    <col min="27" max="28" width="12.140625" bestFit="1" customWidth="1"/>
    <col min="29" max="29" width="12.7109375" bestFit="1" customWidth="1"/>
    <col min="30" max="30" width="11.7109375" bestFit="1" customWidth="1"/>
    <col min="31" max="31" width="13.42578125" bestFit="1" customWidth="1"/>
    <col min="32" max="32" width="11.42578125" bestFit="1" customWidth="1"/>
    <col min="33" max="33" width="8.140625" bestFit="1" customWidth="1"/>
    <col min="34" max="34" width="9.42578125" bestFit="1" customWidth="1"/>
    <col min="35" max="35" width="11.28515625" bestFit="1" customWidth="1"/>
    <col min="36" max="36" width="9.28515625" bestFit="1" customWidth="1"/>
    <col min="37" max="37" width="17.7109375" bestFit="1" customWidth="1"/>
    <col min="38" max="38" width="13" bestFit="1" customWidth="1"/>
    <col min="39" max="39" width="9.85546875" bestFit="1" customWidth="1"/>
    <col min="40" max="40" width="11" bestFit="1" customWidth="1"/>
    <col min="41" max="41" width="11.28515625" bestFit="1" customWidth="1"/>
    <col min="42" max="42" width="15.85546875" bestFit="1" customWidth="1"/>
    <col min="43" max="43" width="11" bestFit="1" customWidth="1"/>
    <col min="44" max="44" width="12.140625" bestFit="1" customWidth="1"/>
    <col min="45" max="45" width="11.85546875" bestFit="1" customWidth="1"/>
    <col min="46" max="46" width="14.28515625" bestFit="1" customWidth="1"/>
    <col min="47" max="47" width="14.140625" bestFit="1" customWidth="1"/>
    <col min="48" max="48" width="11.7109375" bestFit="1" customWidth="1"/>
    <col min="49" max="49" width="14.42578125" bestFit="1" customWidth="1"/>
    <col min="50" max="50" width="12.7109375" bestFit="1" customWidth="1"/>
    <col min="51" max="51" width="14.85546875" bestFit="1" customWidth="1"/>
    <col min="52" max="52" width="14.28515625" bestFit="1" customWidth="1"/>
    <col min="53" max="53" width="15" bestFit="1" customWidth="1"/>
    <col min="54" max="54" width="13" bestFit="1" customWidth="1"/>
    <col min="55" max="55" width="13.28515625" bestFit="1" customWidth="1"/>
    <col min="56" max="56" width="15.140625" bestFit="1" customWidth="1"/>
    <col min="57" max="57" width="12" bestFit="1" customWidth="1"/>
    <col min="58" max="59" width="13.140625" bestFit="1" customWidth="1"/>
    <col min="60" max="60" width="16.85546875" bestFit="1" customWidth="1"/>
    <col min="61" max="61" width="13.140625" bestFit="1" customWidth="1"/>
    <col min="62" max="62" width="16.85546875" bestFit="1" customWidth="1"/>
    <col min="63" max="63" width="10.140625" bestFit="1" customWidth="1"/>
    <col min="64" max="64" width="10" bestFit="1" customWidth="1"/>
    <col min="65" max="65" width="11" bestFit="1" customWidth="1"/>
    <col min="66" max="66" width="11.42578125" bestFit="1" customWidth="1"/>
    <col min="67" max="67" width="14.140625" bestFit="1" customWidth="1"/>
    <col min="68" max="68" width="17.140625" bestFit="1" customWidth="1"/>
    <col min="69" max="69" width="15.7109375" bestFit="1" customWidth="1"/>
    <col min="71" max="72" width="12" bestFit="1" customWidth="1"/>
    <col min="73" max="73" width="18" bestFit="1" customWidth="1"/>
    <col min="74" max="74" width="13.85546875" bestFit="1" customWidth="1"/>
    <col min="75" max="75" width="13.42578125" bestFit="1" customWidth="1"/>
    <col min="76" max="76" width="11.85546875" bestFit="1" customWidth="1"/>
    <col min="77" max="77" width="14.28515625" bestFit="1" customWidth="1"/>
    <col min="78" max="78" width="10.42578125" bestFit="1" customWidth="1"/>
    <col min="79" max="79" width="12.28515625" bestFit="1" customWidth="1"/>
    <col min="81" max="81" width="13" bestFit="1" customWidth="1"/>
    <col min="82" max="82" width="12.140625" bestFit="1" customWidth="1"/>
    <col min="83" max="83" width="12.85546875" bestFit="1" customWidth="1"/>
    <col min="84" max="84" width="17" bestFit="1" customWidth="1"/>
    <col min="85" max="85" width="15" bestFit="1" customWidth="1"/>
    <col min="86" max="86" width="10.28515625" bestFit="1" customWidth="1"/>
    <col min="87" max="87" width="12.140625" bestFit="1" customWidth="1"/>
    <col min="88" max="88" width="9.140625" bestFit="1" customWidth="1"/>
    <col min="89" max="89" width="14.7109375" bestFit="1" customWidth="1"/>
    <col min="90" max="91" width="12.28515625" bestFit="1" customWidth="1"/>
    <col min="92" max="92" width="11.140625" bestFit="1" customWidth="1"/>
    <col min="93" max="93" width="14" bestFit="1" customWidth="1"/>
    <col min="94" max="94" width="13.28515625" bestFit="1" customWidth="1"/>
    <col min="95" max="95" width="13.140625" bestFit="1" customWidth="1"/>
    <col min="96" max="96" width="15.7109375" bestFit="1" customWidth="1"/>
    <col min="97" max="97" width="15.85546875" bestFit="1" customWidth="1"/>
    <col min="98" max="98" width="10.7109375" bestFit="1" customWidth="1"/>
    <col min="99" max="99" width="10.42578125" bestFit="1" customWidth="1"/>
    <col min="101" max="102" width="11" bestFit="1" customWidth="1"/>
    <col min="103" max="103" width="12" bestFit="1" customWidth="1"/>
    <col min="104" max="104" width="12.85546875" bestFit="1" customWidth="1"/>
    <col min="105" max="105" width="15.85546875" bestFit="1" customWidth="1"/>
    <col min="106" max="106" width="10.140625" bestFit="1" customWidth="1"/>
    <col min="107" max="107" width="11.85546875" bestFit="1" customWidth="1"/>
    <col min="108" max="108" width="12.28515625" bestFit="1" customWidth="1"/>
    <col min="109" max="109" width="14.7109375" bestFit="1" customWidth="1"/>
    <col min="111" max="111" width="13" bestFit="1" customWidth="1"/>
    <col min="112" max="112" width="12.7109375" bestFit="1" customWidth="1"/>
    <col min="113" max="113" width="14.85546875" bestFit="1" customWidth="1"/>
    <col min="114" max="114" width="9.28515625" bestFit="1" customWidth="1"/>
    <col min="115" max="115" width="11.7109375" bestFit="1" customWidth="1"/>
    <col min="116" max="116" width="15" bestFit="1" customWidth="1"/>
    <col min="117" max="117" width="12" bestFit="1" customWidth="1"/>
    <col min="118" max="118" width="12.140625" bestFit="1" customWidth="1"/>
    <col min="119" max="119" width="13.42578125" bestFit="1" customWidth="1"/>
    <col min="120" max="120" width="17.28515625" bestFit="1" customWidth="1"/>
    <col min="121" max="121" width="9" bestFit="1" customWidth="1"/>
    <col min="122" max="122" width="10.140625" bestFit="1" customWidth="1"/>
    <col min="123" max="123" width="8.7109375" bestFit="1" customWidth="1"/>
    <col min="124" max="124" width="9.85546875" bestFit="1" customWidth="1"/>
    <col min="125" max="125" width="10" bestFit="1" customWidth="1"/>
    <col min="126" max="126" width="12.7109375" bestFit="1" customWidth="1"/>
    <col min="127" max="127" width="14.85546875" bestFit="1" customWidth="1"/>
    <col min="128" max="128" width="11.42578125" bestFit="1" customWidth="1"/>
    <col min="129" max="129" width="15" bestFit="1" customWidth="1"/>
    <col min="130" max="130" width="16" bestFit="1" customWidth="1"/>
    <col min="131" max="131" width="10.42578125" bestFit="1" customWidth="1"/>
    <col min="132" max="132" width="11" bestFit="1" customWidth="1"/>
    <col min="133" max="133" width="14.85546875" bestFit="1" customWidth="1"/>
    <col min="134" max="134" width="12.42578125" bestFit="1" customWidth="1"/>
    <col min="135" max="135" width="12.140625" bestFit="1" customWidth="1"/>
    <col min="136" max="136" width="14.7109375" bestFit="1" customWidth="1"/>
    <col min="137" max="137" width="16.28515625" bestFit="1" customWidth="1"/>
    <col min="139" max="139" width="10.7109375" bestFit="1" customWidth="1"/>
    <col min="140" max="140" width="10.42578125" bestFit="1" customWidth="1"/>
    <col min="141" max="141" width="11.28515625" bestFit="1" customWidth="1"/>
    <col min="142" max="142" width="14.85546875" bestFit="1" customWidth="1"/>
    <col min="143" max="143" width="14.7109375" bestFit="1" customWidth="1"/>
    <col min="144" max="144" width="15.28515625" bestFit="1" customWidth="1"/>
    <col min="145" max="145" width="12.85546875" bestFit="1" customWidth="1"/>
    <col min="146" max="146" width="18" bestFit="1" customWidth="1"/>
    <col min="147" max="147" width="11.85546875" bestFit="1" customWidth="1"/>
    <col min="148" max="148" width="13.85546875" bestFit="1" customWidth="1"/>
    <col min="149" max="149" width="12" bestFit="1" customWidth="1"/>
    <col min="150" max="150" width="14.85546875" bestFit="1" customWidth="1"/>
    <col min="151" max="151" width="9.28515625" bestFit="1" customWidth="1"/>
    <col min="152" max="152" width="14" bestFit="1" customWidth="1"/>
    <col min="153" max="153" width="13.7109375" bestFit="1" customWidth="1"/>
    <col min="154" max="154" width="15.85546875" bestFit="1" customWidth="1"/>
    <col min="155" max="155" width="11" bestFit="1" customWidth="1"/>
    <col min="156" max="156" width="13.140625" bestFit="1" customWidth="1"/>
    <col min="158" max="158" width="13.28515625" bestFit="1" customWidth="1"/>
    <col min="159" max="159" width="14.85546875" bestFit="1" customWidth="1"/>
    <col min="160" max="160" width="12.85546875" bestFit="1" customWidth="1"/>
    <col min="161" max="161" width="12.28515625" bestFit="1" customWidth="1"/>
    <col min="162" max="162" width="15.85546875" bestFit="1" customWidth="1"/>
    <col min="163" max="163" width="15.28515625" bestFit="1" customWidth="1"/>
    <col min="164" max="164" width="11.7109375" bestFit="1" customWidth="1"/>
    <col min="165" max="165" width="13" bestFit="1" customWidth="1"/>
    <col min="166" max="167" width="14" bestFit="1" customWidth="1"/>
    <col min="168" max="168" width="13.42578125" bestFit="1" customWidth="1"/>
    <col min="169" max="169" width="12.7109375" bestFit="1" customWidth="1"/>
    <col min="170" max="170" width="16.28515625" bestFit="1" customWidth="1"/>
    <col min="171" max="171" width="12" bestFit="1" customWidth="1"/>
    <col min="172" max="172" width="11" bestFit="1" customWidth="1"/>
    <col min="173" max="173" width="12" bestFit="1" customWidth="1"/>
    <col min="174" max="174" width="15.28515625" bestFit="1" customWidth="1"/>
    <col min="175" max="175" width="18.7109375" bestFit="1" customWidth="1"/>
    <col min="176" max="176" width="11.7109375" bestFit="1" customWidth="1"/>
    <col min="177" max="177" width="13" bestFit="1" customWidth="1"/>
    <col min="178" max="178" width="12" bestFit="1" customWidth="1"/>
    <col min="179" max="179" width="13.42578125" bestFit="1" customWidth="1"/>
    <col min="180" max="180" width="12.7109375" bestFit="1" customWidth="1"/>
    <col min="181" max="181" width="16" bestFit="1" customWidth="1"/>
    <col min="182" max="182" width="11.42578125" bestFit="1" customWidth="1"/>
    <col min="183" max="183" width="13.7109375" bestFit="1" customWidth="1"/>
    <col min="184" max="184" width="13" bestFit="1" customWidth="1"/>
    <col min="185" max="185" width="14" bestFit="1" customWidth="1"/>
    <col min="186" max="186" width="14.140625" bestFit="1" customWidth="1"/>
    <col min="187" max="187" width="16.42578125" bestFit="1" customWidth="1"/>
    <col min="188" max="188" width="14.85546875" bestFit="1" customWidth="1"/>
    <col min="189" max="189" width="13.7109375" bestFit="1" customWidth="1"/>
    <col min="190" max="190" width="13.85546875" bestFit="1" customWidth="1"/>
    <col min="191" max="191" width="10.28515625" bestFit="1" customWidth="1"/>
    <col min="192" max="192" width="13" bestFit="1" customWidth="1"/>
    <col min="193" max="193" width="11" bestFit="1" customWidth="1"/>
    <col min="194" max="194" width="12.85546875" bestFit="1" customWidth="1"/>
    <col min="195" max="195" width="14.7109375" bestFit="1" customWidth="1"/>
    <col min="196" max="196" width="13" bestFit="1" customWidth="1"/>
    <col min="197" max="197" width="16" bestFit="1" customWidth="1"/>
    <col min="198" max="198" width="14.28515625" bestFit="1" customWidth="1"/>
    <col min="199" max="199" width="11.28515625" bestFit="1" customWidth="1"/>
    <col min="200" max="200" width="12.28515625" bestFit="1" customWidth="1"/>
    <col min="201" max="201" width="13.140625" bestFit="1" customWidth="1"/>
    <col min="202" max="202" width="16" bestFit="1" customWidth="1"/>
    <col min="203" max="203" width="12.140625" bestFit="1" customWidth="1"/>
    <col min="204" max="204" width="12.42578125" bestFit="1" customWidth="1"/>
    <col min="205" max="205" width="13" bestFit="1" customWidth="1"/>
    <col min="206" max="206" width="15.7109375" bestFit="1" customWidth="1"/>
    <col min="207" max="207" width="10.140625" bestFit="1" customWidth="1"/>
    <col min="208" max="208" width="16" bestFit="1" customWidth="1"/>
    <col min="209" max="209" width="8" bestFit="1" customWidth="1"/>
    <col min="210" max="210" width="14" bestFit="1" customWidth="1"/>
    <col min="211" max="211" width="9.140625" bestFit="1" customWidth="1"/>
    <col min="212" max="212" width="12.28515625" bestFit="1" customWidth="1"/>
    <col min="213" max="213" width="10.42578125" bestFit="1" customWidth="1"/>
    <col min="214" max="214" width="15.7109375" bestFit="1" customWidth="1"/>
    <col min="215" max="215" width="12.42578125" bestFit="1" customWidth="1"/>
    <col min="216" max="216" width="12.7109375" bestFit="1" customWidth="1"/>
    <col min="217" max="217" width="11.28515625" bestFit="1" customWidth="1"/>
    <col min="218" max="218" width="10.7109375" bestFit="1" customWidth="1"/>
    <col min="219" max="219" width="11.85546875" bestFit="1" customWidth="1"/>
    <col min="220" max="220" width="14.140625" bestFit="1" customWidth="1"/>
    <col min="221" max="221" width="12.85546875" bestFit="1" customWidth="1"/>
    <col min="222" max="222" width="12" bestFit="1" customWidth="1"/>
    <col min="223" max="223" width="12.7109375" bestFit="1" customWidth="1"/>
    <col min="224" max="224" width="11.85546875" bestFit="1" customWidth="1"/>
    <col min="226" max="226" width="11.28515625" bestFit="1" customWidth="1"/>
    <col min="227" max="227" width="11" bestFit="1" customWidth="1"/>
    <col min="228" max="228" width="10.140625" bestFit="1" customWidth="1"/>
    <col min="229" max="229" width="9.7109375" bestFit="1" customWidth="1"/>
    <col min="231" max="231" width="12.7109375" bestFit="1" customWidth="1"/>
    <col min="232" max="232" width="12.42578125" bestFit="1" customWidth="1"/>
    <col min="233" max="233" width="7.42578125" bestFit="1" customWidth="1"/>
    <col min="234" max="234" width="13.140625" bestFit="1" customWidth="1"/>
    <col min="235" max="235" width="14.7109375" bestFit="1" customWidth="1"/>
    <col min="236" max="236" width="13.28515625" bestFit="1" customWidth="1"/>
    <col min="237" max="237" width="15.140625" bestFit="1" customWidth="1"/>
    <col min="238" max="238" width="13.7109375" bestFit="1" customWidth="1"/>
    <col min="239" max="239" width="10.7109375" bestFit="1" customWidth="1"/>
    <col min="240" max="240" width="13" bestFit="1" customWidth="1"/>
    <col min="241" max="241" width="13.28515625" bestFit="1" customWidth="1"/>
    <col min="242" max="242" width="15.140625" bestFit="1" customWidth="1"/>
    <col min="243" max="243" width="13.42578125" bestFit="1" customWidth="1"/>
    <col min="244" max="244" width="14" bestFit="1" customWidth="1"/>
    <col min="245" max="245" width="12.28515625" bestFit="1" customWidth="1"/>
    <col min="246" max="246" width="16.85546875" bestFit="1" customWidth="1"/>
    <col min="247" max="247" width="13" bestFit="1" customWidth="1"/>
    <col min="249" max="249" width="15.7109375" bestFit="1" customWidth="1"/>
    <col min="250" max="250" width="12.85546875" bestFit="1" customWidth="1"/>
    <col min="251" max="251" width="12.28515625" bestFit="1" customWidth="1"/>
    <col min="252" max="252" width="13.7109375" bestFit="1" customWidth="1"/>
    <col min="253" max="253" width="12.85546875" bestFit="1" customWidth="1"/>
    <col min="254" max="254" width="12.140625" bestFit="1" customWidth="1"/>
    <col min="255" max="255" width="10.7109375" bestFit="1" customWidth="1"/>
    <col min="256" max="256" width="13.28515625" bestFit="1" customWidth="1"/>
    <col min="257" max="257" width="9.7109375" bestFit="1" customWidth="1"/>
    <col min="258" max="259" width="13" bestFit="1" customWidth="1"/>
    <col min="260" max="260" width="14.28515625" bestFit="1" customWidth="1"/>
    <col min="261" max="261" width="14.7109375" bestFit="1" customWidth="1"/>
    <col min="262" max="262" width="16.28515625" bestFit="1" customWidth="1"/>
    <col min="263" max="263" width="10.140625" bestFit="1" customWidth="1"/>
    <col min="264" max="264" width="12.140625" bestFit="1" customWidth="1"/>
    <col min="265" max="265" width="10.7109375" bestFit="1" customWidth="1"/>
    <col min="266" max="266" width="15.42578125" bestFit="1" customWidth="1"/>
    <col min="267" max="267" width="11.7109375" bestFit="1" customWidth="1"/>
    <col min="268" max="268" width="10.7109375" bestFit="1" customWidth="1"/>
    <col min="269" max="269" width="17.42578125" bestFit="1" customWidth="1"/>
    <col min="270" max="270" width="15.140625" bestFit="1" customWidth="1"/>
    <col min="272" max="272" width="9" bestFit="1" customWidth="1"/>
    <col min="273" max="273" width="10.42578125" bestFit="1" customWidth="1"/>
    <col min="274" max="274" width="14" bestFit="1" customWidth="1"/>
    <col min="275" max="275" width="14.42578125" bestFit="1" customWidth="1"/>
    <col min="276" max="276" width="13" bestFit="1" customWidth="1"/>
    <col min="277" max="277" width="13.140625" bestFit="1" customWidth="1"/>
    <col min="278" max="278" width="12" bestFit="1" customWidth="1"/>
    <col min="279" max="279" width="10" bestFit="1" customWidth="1"/>
    <col min="280" max="280" width="12.42578125" bestFit="1" customWidth="1"/>
    <col min="281" max="281" width="10.140625" bestFit="1" customWidth="1"/>
    <col min="282" max="282" width="14.42578125" bestFit="1" customWidth="1"/>
    <col min="283" max="283" width="15.28515625" bestFit="1" customWidth="1"/>
    <col min="284" max="284" width="11.7109375" bestFit="1" customWidth="1"/>
    <col min="285" max="285" width="8.7109375" bestFit="1" customWidth="1"/>
    <col min="286" max="286" width="14.7109375" bestFit="1" customWidth="1"/>
    <col min="287" max="287" width="12.140625" bestFit="1" customWidth="1"/>
    <col min="288" max="288" width="16.28515625" bestFit="1" customWidth="1"/>
    <col min="289" max="289" width="12.7109375" bestFit="1" customWidth="1"/>
    <col min="290" max="290" width="10.42578125" bestFit="1" customWidth="1"/>
    <col min="291" max="291" width="11.42578125" bestFit="1" customWidth="1"/>
    <col min="292" max="292" width="11.140625" bestFit="1" customWidth="1"/>
    <col min="293" max="293" width="12.42578125" bestFit="1" customWidth="1"/>
    <col min="294" max="294" width="12.7109375" bestFit="1" customWidth="1"/>
    <col min="295" max="295" width="14.140625" bestFit="1" customWidth="1"/>
    <col min="296" max="296" width="12" bestFit="1" customWidth="1"/>
    <col min="297" max="297" width="13.42578125" bestFit="1" customWidth="1"/>
    <col min="298" max="298" width="14.85546875" bestFit="1" customWidth="1"/>
    <col min="299" max="299" width="12" bestFit="1" customWidth="1"/>
    <col min="300" max="300" width="10" bestFit="1" customWidth="1"/>
    <col min="301" max="301" width="11.42578125" bestFit="1" customWidth="1"/>
    <col min="302" max="302" width="11" bestFit="1" customWidth="1"/>
    <col min="303" max="303" width="9.42578125" bestFit="1" customWidth="1"/>
    <col min="304" max="304" width="13.85546875" bestFit="1" customWidth="1"/>
    <col min="305" max="305" width="13.42578125" bestFit="1" customWidth="1"/>
    <col min="306" max="306" width="13.140625" bestFit="1" customWidth="1"/>
    <col min="307" max="307" width="11.42578125" bestFit="1" customWidth="1"/>
    <col min="308" max="308" width="10.28515625" bestFit="1" customWidth="1"/>
    <col min="309" max="309" width="10.42578125" bestFit="1" customWidth="1"/>
    <col min="311" max="311" width="14" bestFit="1" customWidth="1"/>
    <col min="312" max="312" width="15.140625" bestFit="1" customWidth="1"/>
    <col min="313" max="313" width="12.7109375" bestFit="1" customWidth="1"/>
    <col min="314" max="314" width="13" bestFit="1" customWidth="1"/>
    <col min="315" max="315" width="13.7109375" bestFit="1" customWidth="1"/>
    <col min="316" max="316" width="10.28515625" bestFit="1" customWidth="1"/>
    <col min="317" max="317" width="11.7109375" bestFit="1" customWidth="1"/>
    <col min="318" max="318" width="11.28515625" bestFit="1" customWidth="1"/>
    <col min="319" max="319" width="11.7109375" bestFit="1" customWidth="1"/>
    <col min="320" max="320" width="12.7109375" bestFit="1" customWidth="1"/>
    <col min="321" max="321" width="11.42578125" bestFit="1" customWidth="1"/>
    <col min="322" max="322" width="14.42578125" bestFit="1" customWidth="1"/>
    <col min="323" max="323" width="11.85546875" bestFit="1" customWidth="1"/>
    <col min="324" max="324" width="13.28515625" bestFit="1" customWidth="1"/>
    <col min="325" max="325" width="11.42578125" bestFit="1" customWidth="1"/>
    <col min="326" max="326" width="10.28515625" bestFit="1" customWidth="1"/>
    <col min="327" max="327" width="17" bestFit="1" customWidth="1"/>
    <col min="328" max="328" width="11.42578125" bestFit="1" customWidth="1"/>
    <col min="329" max="329" width="11.28515625" bestFit="1" customWidth="1"/>
    <col min="330" max="330" width="14.28515625" bestFit="1" customWidth="1"/>
    <col min="331" max="331" width="14.85546875" bestFit="1" customWidth="1"/>
    <col min="332" max="332" width="13.140625" bestFit="1" customWidth="1"/>
    <col min="333" max="333" width="15.28515625" bestFit="1" customWidth="1"/>
    <col min="334" max="334" width="15" bestFit="1" customWidth="1"/>
    <col min="335" max="335" width="12" bestFit="1" customWidth="1"/>
    <col min="336" max="336" width="17" bestFit="1" customWidth="1"/>
    <col min="337" max="337" width="16.28515625" bestFit="1" customWidth="1"/>
    <col min="338" max="338" width="11" bestFit="1" customWidth="1"/>
    <col min="339" max="339" width="11.140625" bestFit="1" customWidth="1"/>
    <col min="340" max="340" width="12.42578125" bestFit="1" customWidth="1"/>
    <col min="342" max="343" width="12.42578125" bestFit="1" customWidth="1"/>
    <col min="344" max="344" width="13.7109375" bestFit="1" customWidth="1"/>
    <col min="345" max="346" width="13.42578125" bestFit="1" customWidth="1"/>
    <col min="347" max="347" width="11.42578125" bestFit="1" customWidth="1"/>
    <col min="348" max="348" width="10.140625" bestFit="1" customWidth="1"/>
    <col min="349" max="349" width="14" bestFit="1" customWidth="1"/>
    <col min="350" max="350" width="12.28515625" bestFit="1" customWidth="1"/>
    <col min="351" max="351" width="15.85546875" bestFit="1" customWidth="1"/>
    <col min="353" max="353" width="15.42578125" bestFit="1" customWidth="1"/>
    <col min="354" max="355" width="13.28515625" bestFit="1" customWidth="1"/>
    <col min="356" max="356" width="13.85546875" bestFit="1" customWidth="1"/>
    <col min="357" max="357" width="15.28515625" bestFit="1" customWidth="1"/>
    <col min="358" max="358" width="11" bestFit="1" customWidth="1"/>
    <col min="359" max="359" width="11.7109375" bestFit="1" customWidth="1"/>
    <col min="360" max="360" width="11" bestFit="1" customWidth="1"/>
    <col min="361" max="361" width="13.140625" bestFit="1" customWidth="1"/>
    <col min="362" max="362" width="11.85546875" bestFit="1" customWidth="1"/>
    <col min="363" max="363" width="13.42578125" bestFit="1" customWidth="1"/>
    <col min="364" max="364" width="14.28515625" bestFit="1" customWidth="1"/>
    <col min="365" max="365" width="16.42578125" bestFit="1" customWidth="1"/>
    <col min="366" max="366" width="9.85546875" bestFit="1" customWidth="1"/>
    <col min="367" max="367" width="14.28515625" bestFit="1" customWidth="1"/>
    <col min="368" max="368" width="17.28515625" bestFit="1" customWidth="1"/>
    <col min="369" max="369" width="14.140625" bestFit="1" customWidth="1"/>
    <col min="370" max="370" width="9.42578125" bestFit="1" customWidth="1"/>
    <col min="371" max="371" width="13.7109375" bestFit="1" customWidth="1"/>
    <col min="372" max="372" width="17.7109375" bestFit="1" customWidth="1"/>
    <col min="373" max="373" width="17" bestFit="1" customWidth="1"/>
    <col min="374" max="374" width="12.28515625" bestFit="1" customWidth="1"/>
    <col min="375" max="375" width="15.85546875" bestFit="1" customWidth="1"/>
    <col min="376" max="376" width="11.42578125" bestFit="1" customWidth="1"/>
    <col min="377" max="377" width="13.85546875" bestFit="1" customWidth="1"/>
    <col min="378" max="378" width="12.28515625" bestFit="1" customWidth="1"/>
    <col min="379" max="379" width="14.140625" bestFit="1" customWidth="1"/>
    <col min="380" max="380" width="10.7109375" bestFit="1" customWidth="1"/>
    <col min="381" max="381" width="12.7109375" bestFit="1" customWidth="1"/>
    <col min="382" max="382" width="13.28515625" bestFit="1" customWidth="1"/>
    <col min="383" max="383" width="10" bestFit="1" customWidth="1"/>
    <col min="384" max="384" width="9.85546875" bestFit="1" customWidth="1"/>
    <col min="385" max="385" width="15.42578125" bestFit="1" customWidth="1"/>
    <col min="386" max="386" width="12.7109375" bestFit="1" customWidth="1"/>
    <col min="387" max="387" width="13.85546875" bestFit="1" customWidth="1"/>
    <col min="388" max="388" width="15.140625" bestFit="1" customWidth="1"/>
    <col min="389" max="389" width="13.42578125" bestFit="1" customWidth="1"/>
    <col min="390" max="390" width="12.7109375" bestFit="1" customWidth="1"/>
    <col min="391" max="391" width="13.28515625" bestFit="1" customWidth="1"/>
    <col min="392" max="392" width="14" bestFit="1" customWidth="1"/>
    <col min="393" max="393" width="14.140625" bestFit="1" customWidth="1"/>
    <col min="394" max="394" width="11.85546875" bestFit="1" customWidth="1"/>
    <col min="395" max="395" width="8.85546875" bestFit="1" customWidth="1"/>
    <col min="396" max="396" width="10" bestFit="1" customWidth="1"/>
    <col min="397" max="397" width="12" bestFit="1" customWidth="1"/>
    <col min="398" max="398" width="14.42578125" bestFit="1" customWidth="1"/>
    <col min="399" max="399" width="12.140625" bestFit="1" customWidth="1"/>
    <col min="400" max="400" width="10.42578125" bestFit="1" customWidth="1"/>
    <col min="401" max="401" width="16" bestFit="1" customWidth="1"/>
    <col min="402" max="402" width="13.28515625" bestFit="1" customWidth="1"/>
    <col min="403" max="403" width="13.42578125" bestFit="1" customWidth="1"/>
    <col min="404" max="404" width="10.28515625" bestFit="1" customWidth="1"/>
    <col min="405" max="405" width="13" bestFit="1" customWidth="1"/>
    <col min="406" max="406" width="11.140625" bestFit="1" customWidth="1"/>
    <col min="407" max="407" width="12" bestFit="1" customWidth="1"/>
    <col min="408" max="408" width="16.28515625" bestFit="1" customWidth="1"/>
    <col min="409" max="409" width="10" bestFit="1" customWidth="1"/>
    <col min="410" max="410" width="12.140625" bestFit="1" customWidth="1"/>
    <col min="411" max="411" width="11.140625" bestFit="1" customWidth="1"/>
    <col min="412" max="412" width="9.42578125" bestFit="1" customWidth="1"/>
    <col min="413" max="414" width="11.28515625" bestFit="1" customWidth="1"/>
    <col min="415" max="415" width="10" bestFit="1" customWidth="1"/>
    <col min="416" max="416" width="11.85546875" bestFit="1" customWidth="1"/>
    <col min="417" max="417" width="14.140625" bestFit="1" customWidth="1"/>
    <col min="418" max="418" width="15.140625" bestFit="1" customWidth="1"/>
    <col min="419" max="419" width="15.7109375" bestFit="1" customWidth="1"/>
    <col min="420" max="420" width="12" bestFit="1" customWidth="1"/>
    <col min="421" max="421" width="11.7109375" bestFit="1" customWidth="1"/>
    <col min="422" max="422" width="11.85546875" bestFit="1" customWidth="1"/>
    <col min="423" max="423" width="10.28515625" bestFit="1" customWidth="1"/>
    <col min="424" max="424" width="6.28515625" bestFit="1" customWidth="1"/>
    <col min="425" max="425" width="12.140625" bestFit="1" customWidth="1"/>
    <col min="427" max="427" width="9.28515625" bestFit="1" customWidth="1"/>
    <col min="428" max="428" width="13.42578125" bestFit="1" customWidth="1"/>
    <col min="429" max="429" width="12.140625" bestFit="1" customWidth="1"/>
    <col min="430" max="430" width="8.85546875" bestFit="1" customWidth="1"/>
    <col min="431" max="431" width="8.42578125" bestFit="1" customWidth="1"/>
    <col min="432" max="432" width="11.140625" bestFit="1" customWidth="1"/>
    <col min="433" max="433" width="10.42578125" bestFit="1" customWidth="1"/>
    <col min="434" max="434" width="14" bestFit="1" customWidth="1"/>
    <col min="435" max="435" width="14.28515625" bestFit="1" customWidth="1"/>
    <col min="436" max="436" width="13.42578125" bestFit="1" customWidth="1"/>
    <col min="437" max="437" width="9.85546875" bestFit="1" customWidth="1"/>
    <col min="438" max="438" width="12.140625" bestFit="1" customWidth="1"/>
    <col min="439" max="439" width="11.85546875" bestFit="1" customWidth="1"/>
    <col min="440" max="440" width="10.7109375" bestFit="1" customWidth="1"/>
    <col min="441" max="441" width="12.28515625" bestFit="1" customWidth="1"/>
    <col min="442" max="442" width="13.7109375" bestFit="1" customWidth="1"/>
    <col min="443" max="443" width="11" bestFit="1" customWidth="1"/>
    <col min="444" max="444" width="12.7109375" bestFit="1" customWidth="1"/>
    <col min="445" max="445" width="19.85546875" bestFit="1" customWidth="1"/>
    <col min="446" max="446" width="12.140625" bestFit="1" customWidth="1"/>
    <col min="447" max="447" width="9.7109375" bestFit="1" customWidth="1"/>
    <col min="448" max="448" width="12.7109375" bestFit="1" customWidth="1"/>
    <col min="449" max="449" width="12.85546875" bestFit="1" customWidth="1"/>
    <col min="451" max="451" width="11.85546875" bestFit="1" customWidth="1"/>
    <col min="452" max="452" width="12.28515625" bestFit="1" customWidth="1"/>
    <col min="453" max="453" width="15.85546875" bestFit="1" customWidth="1"/>
    <col min="454" max="454" width="14.7109375" bestFit="1" customWidth="1"/>
    <col min="455" max="455" width="13.28515625" bestFit="1" customWidth="1"/>
    <col min="456" max="456" width="15.140625" bestFit="1" customWidth="1"/>
    <col min="457" max="458" width="9.85546875" bestFit="1" customWidth="1"/>
    <col min="459" max="459" width="12.7109375" bestFit="1" customWidth="1"/>
    <col min="460" max="460" width="16.42578125" bestFit="1" customWidth="1"/>
    <col min="461" max="461" width="12.7109375" bestFit="1" customWidth="1"/>
    <col min="462" max="462" width="14" bestFit="1" customWidth="1"/>
    <col min="463" max="463" width="9.140625" bestFit="1" customWidth="1"/>
    <col min="464" max="464" width="12.85546875" bestFit="1" customWidth="1"/>
    <col min="465" max="465" width="14.85546875" bestFit="1" customWidth="1"/>
    <col min="466" max="466" width="9.140625" bestFit="1" customWidth="1"/>
    <col min="467" max="467" width="13.140625" bestFit="1" customWidth="1"/>
    <col min="469" max="469" width="10.140625" bestFit="1" customWidth="1"/>
    <col min="470" max="470" width="17.7109375" bestFit="1" customWidth="1"/>
    <col min="471" max="471" width="13" bestFit="1" customWidth="1"/>
    <col min="472" max="472" width="12.140625" bestFit="1" customWidth="1"/>
    <col min="473" max="473" width="12.85546875" bestFit="1" customWidth="1"/>
    <col min="474" max="474" width="12.7109375" bestFit="1" customWidth="1"/>
    <col min="475" max="475" width="11.28515625" bestFit="1" customWidth="1"/>
    <col min="476" max="476" width="10.7109375" bestFit="1" customWidth="1"/>
    <col min="477" max="477" width="12.7109375" bestFit="1" customWidth="1"/>
    <col min="478" max="478" width="12" bestFit="1" customWidth="1"/>
    <col min="479" max="479" width="9.42578125" bestFit="1" customWidth="1"/>
    <col min="480" max="480" width="12.140625" bestFit="1" customWidth="1"/>
    <col min="481" max="481" width="10" bestFit="1" customWidth="1"/>
    <col min="482" max="482" width="14.42578125" bestFit="1" customWidth="1"/>
    <col min="483" max="483" width="13.28515625" bestFit="1" customWidth="1"/>
    <col min="484" max="484" width="12.140625" bestFit="1" customWidth="1"/>
    <col min="485" max="485" width="9.7109375" bestFit="1" customWidth="1"/>
    <col min="486" max="486" width="9.42578125" bestFit="1" customWidth="1"/>
    <col min="487" max="487" width="10.7109375" bestFit="1" customWidth="1"/>
    <col min="488" max="488" width="12" bestFit="1" customWidth="1"/>
    <col min="489" max="490" width="13.140625" bestFit="1" customWidth="1"/>
    <col min="491" max="491" width="13.42578125" bestFit="1" customWidth="1"/>
    <col min="492" max="492" width="10.28515625" bestFit="1" customWidth="1"/>
    <col min="493" max="493" width="12" bestFit="1" customWidth="1"/>
    <col min="494" max="494" width="14.140625" bestFit="1" customWidth="1"/>
    <col min="495" max="495" width="11.85546875" bestFit="1" customWidth="1"/>
    <col min="496" max="496" width="15.28515625" bestFit="1" customWidth="1"/>
    <col min="497" max="497" width="9.42578125" bestFit="1" customWidth="1"/>
    <col min="498" max="498" width="14.7109375" bestFit="1" customWidth="1"/>
    <col min="499" max="499" width="12.85546875" bestFit="1" customWidth="1"/>
    <col min="500" max="500" width="12" bestFit="1" customWidth="1"/>
    <col min="501" max="501" width="13.42578125" bestFit="1" customWidth="1"/>
    <col min="502" max="502" width="10.28515625" bestFit="1" customWidth="1"/>
    <col min="503" max="503" width="10.42578125" bestFit="1" customWidth="1"/>
    <col min="504" max="504" width="15.42578125" bestFit="1" customWidth="1"/>
    <col min="505" max="505" width="11.28515625" bestFit="1" customWidth="1"/>
    <col min="506" max="506" width="13.42578125" bestFit="1" customWidth="1"/>
    <col min="507" max="507" width="11.42578125" bestFit="1" customWidth="1"/>
    <col min="508" max="508" width="12.28515625" bestFit="1" customWidth="1"/>
    <col min="509" max="509" width="15" bestFit="1" customWidth="1"/>
    <col min="510" max="510" width="20.42578125" bestFit="1" customWidth="1"/>
    <col min="511" max="511" width="11.7109375" bestFit="1" customWidth="1"/>
    <col min="512" max="512" width="12.140625" bestFit="1" customWidth="1"/>
    <col min="513" max="513" width="14.85546875" bestFit="1" customWidth="1"/>
    <col min="514" max="514" width="11" bestFit="1" customWidth="1"/>
    <col min="515" max="515" width="13.85546875" bestFit="1" customWidth="1"/>
    <col min="516" max="516" width="12.85546875" bestFit="1" customWidth="1"/>
    <col min="518" max="518" width="12.140625" bestFit="1" customWidth="1"/>
    <col min="519" max="519" width="15.140625" bestFit="1" customWidth="1"/>
    <col min="520" max="520" width="9.85546875" bestFit="1" customWidth="1"/>
    <col min="521" max="521" width="15.7109375" bestFit="1" customWidth="1"/>
    <col min="522" max="522" width="18.140625" bestFit="1" customWidth="1"/>
    <col min="523" max="523" width="16.28515625" bestFit="1" customWidth="1"/>
    <col min="524" max="524" width="12.7109375" bestFit="1" customWidth="1"/>
    <col min="525" max="525" width="12.85546875" bestFit="1" customWidth="1"/>
    <col min="526" max="526" width="11.42578125" bestFit="1" customWidth="1"/>
    <col min="527" max="527" width="12.140625" bestFit="1" customWidth="1"/>
    <col min="528" max="528" width="10.140625" bestFit="1" customWidth="1"/>
    <col min="529" max="529" width="11.85546875" bestFit="1" customWidth="1"/>
    <col min="530" max="530" width="13.140625" bestFit="1" customWidth="1"/>
    <col min="531" max="531" width="15.28515625" bestFit="1" customWidth="1"/>
    <col min="532" max="532" width="18.140625" bestFit="1" customWidth="1"/>
    <col min="533" max="533" width="12.85546875" bestFit="1" customWidth="1"/>
    <col min="534" max="534" width="16.28515625" bestFit="1" customWidth="1"/>
    <col min="535" max="535" width="13.7109375" bestFit="1" customWidth="1"/>
    <col min="536" max="536" width="15.140625" bestFit="1" customWidth="1"/>
    <col min="537" max="537" width="14.42578125" bestFit="1" customWidth="1"/>
    <col min="538" max="538" width="14" bestFit="1" customWidth="1"/>
    <col min="539" max="541" width="11" bestFit="1" customWidth="1"/>
    <col min="542" max="542" width="12.28515625" bestFit="1" customWidth="1"/>
    <col min="543" max="543" width="13.85546875" bestFit="1" customWidth="1"/>
    <col min="544" max="544" width="10.28515625" bestFit="1" customWidth="1"/>
    <col min="545" max="545" width="11.85546875" bestFit="1" customWidth="1"/>
    <col min="546" max="546" width="11" bestFit="1" customWidth="1"/>
    <col min="548" max="548" width="14.28515625" bestFit="1" customWidth="1"/>
    <col min="549" max="549" width="9.42578125" bestFit="1" customWidth="1"/>
    <col min="550" max="550" width="13.140625" bestFit="1" customWidth="1"/>
    <col min="551" max="551" width="14" bestFit="1" customWidth="1"/>
    <col min="552" max="552" width="14.85546875" bestFit="1" customWidth="1"/>
    <col min="553" max="553" width="12.7109375" bestFit="1" customWidth="1"/>
    <col min="554" max="554" width="12" bestFit="1" customWidth="1"/>
    <col min="555" max="555" width="16.28515625" bestFit="1" customWidth="1"/>
    <col min="556" max="556" width="12.7109375" bestFit="1" customWidth="1"/>
    <col min="557" max="557" width="14.140625" bestFit="1" customWidth="1"/>
    <col min="558" max="558" width="14.28515625" bestFit="1" customWidth="1"/>
    <col min="559" max="559" width="10.28515625" bestFit="1" customWidth="1"/>
    <col min="560" max="560" width="11.28515625" bestFit="1" customWidth="1"/>
    <col min="561" max="561" width="16.28515625" bestFit="1" customWidth="1"/>
    <col min="562" max="562" width="13.85546875" bestFit="1" customWidth="1"/>
    <col min="563" max="563" width="12.7109375" bestFit="1" customWidth="1"/>
    <col min="564" max="564" width="9" bestFit="1" customWidth="1"/>
    <col min="565" max="565" width="13.28515625" bestFit="1" customWidth="1"/>
    <col min="566" max="566" width="16.42578125" bestFit="1" customWidth="1"/>
    <col min="567" max="567" width="13.7109375" bestFit="1" customWidth="1"/>
    <col min="568" max="568" width="12.85546875" bestFit="1" customWidth="1"/>
    <col min="569" max="569" width="12.42578125" bestFit="1" customWidth="1"/>
    <col min="570" max="570" width="11" bestFit="1" customWidth="1"/>
    <col min="571" max="571" width="13.28515625" bestFit="1" customWidth="1"/>
    <col min="572" max="572" width="11.28515625" bestFit="1" customWidth="1"/>
    <col min="573" max="573" width="12.42578125" bestFit="1" customWidth="1"/>
    <col min="574" max="574" width="15.85546875" bestFit="1" customWidth="1"/>
    <col min="575" max="576" width="14.7109375" bestFit="1" customWidth="1"/>
    <col min="577" max="577" width="9.42578125" bestFit="1" customWidth="1"/>
    <col min="578" max="578" width="14.140625" bestFit="1" customWidth="1"/>
    <col min="579" max="579" width="10.140625" bestFit="1" customWidth="1"/>
    <col min="580" max="580" width="17" bestFit="1" customWidth="1"/>
    <col min="581" max="581" width="13.28515625" bestFit="1" customWidth="1"/>
    <col min="582" max="582" width="15.42578125" bestFit="1" customWidth="1"/>
    <col min="583" max="583" width="16.28515625" bestFit="1" customWidth="1"/>
    <col min="584" max="584" width="19.28515625" bestFit="1" customWidth="1"/>
    <col min="585" max="585" width="10.28515625" bestFit="1" customWidth="1"/>
    <col min="586" max="586" width="13.140625" bestFit="1" customWidth="1"/>
    <col min="587" max="587" width="15.140625" bestFit="1" customWidth="1"/>
    <col min="588" max="588" width="12.42578125" bestFit="1" customWidth="1"/>
    <col min="589" max="589" width="10.42578125" bestFit="1" customWidth="1"/>
    <col min="590" max="590" width="17" bestFit="1" customWidth="1"/>
    <col min="591" max="591" width="13" bestFit="1" customWidth="1"/>
    <col min="593" max="593" width="12.7109375" bestFit="1" customWidth="1"/>
    <col min="594" max="594" width="12.28515625" bestFit="1" customWidth="1"/>
    <col min="595" max="595" width="14" bestFit="1" customWidth="1"/>
    <col min="596" max="596" width="15.42578125" bestFit="1" customWidth="1"/>
    <col min="597" max="597" width="11.85546875" bestFit="1" customWidth="1"/>
    <col min="598" max="598" width="15.140625" bestFit="1" customWidth="1"/>
    <col min="599" max="599" width="11.42578125" bestFit="1" customWidth="1"/>
    <col min="600" max="600" width="13.140625" bestFit="1" customWidth="1"/>
    <col min="601" max="601" width="13" bestFit="1" customWidth="1"/>
    <col min="602" max="603" width="12.42578125" bestFit="1" customWidth="1"/>
    <col min="604" max="605" width="12.7109375" bestFit="1" customWidth="1"/>
    <col min="606" max="606" width="13.7109375" bestFit="1" customWidth="1"/>
    <col min="607" max="607" width="12.140625" bestFit="1" customWidth="1"/>
    <col min="608" max="608" width="13.42578125" bestFit="1" customWidth="1"/>
    <col min="609" max="609" width="16.28515625" bestFit="1" customWidth="1"/>
    <col min="610" max="610" width="13" bestFit="1" customWidth="1"/>
    <col min="611" max="611" width="9.28515625" bestFit="1" customWidth="1"/>
    <col min="612" max="612" width="11" bestFit="1" customWidth="1"/>
    <col min="613" max="614" width="11.140625" bestFit="1" customWidth="1"/>
    <col min="615" max="615" width="12.85546875" bestFit="1" customWidth="1"/>
    <col min="616" max="616" width="15.140625" bestFit="1" customWidth="1"/>
    <col min="617" max="617" width="13.42578125" bestFit="1" customWidth="1"/>
    <col min="618" max="618" width="17.85546875" bestFit="1" customWidth="1"/>
    <col min="619" max="619" width="11.7109375" bestFit="1" customWidth="1"/>
    <col min="620" max="620" width="12.42578125" bestFit="1" customWidth="1"/>
    <col min="621" max="621" width="20.140625" bestFit="1" customWidth="1"/>
    <col min="622" max="622" width="15.7109375" bestFit="1" customWidth="1"/>
    <col min="623" max="623" width="12.7109375" bestFit="1" customWidth="1"/>
    <col min="624" max="624" width="13" bestFit="1" customWidth="1"/>
    <col min="625" max="625" width="11.28515625" bestFit="1" customWidth="1"/>
    <col min="626" max="626" width="17.140625" bestFit="1" customWidth="1"/>
    <col min="627" max="627" width="12.140625" bestFit="1" customWidth="1"/>
    <col min="628" max="628" width="10.42578125" bestFit="1" customWidth="1"/>
    <col min="629" max="629" width="12.28515625" bestFit="1" customWidth="1"/>
    <col min="630" max="630" width="13.28515625" bestFit="1" customWidth="1"/>
    <col min="631" max="631" width="11.42578125" bestFit="1" customWidth="1"/>
    <col min="632" max="632" width="13" bestFit="1" customWidth="1"/>
    <col min="633" max="633" width="14" bestFit="1" customWidth="1"/>
    <col min="634" max="634" width="13.85546875" bestFit="1" customWidth="1"/>
    <col min="635" max="635" width="12.85546875" bestFit="1" customWidth="1"/>
    <col min="636" max="636" width="14.28515625" bestFit="1" customWidth="1"/>
    <col min="637" max="637" width="12.140625" bestFit="1" customWidth="1"/>
    <col min="638" max="638" width="14.42578125" bestFit="1" customWidth="1"/>
    <col min="639" max="639" width="12.42578125" bestFit="1" customWidth="1"/>
    <col min="640" max="640" width="12" bestFit="1" customWidth="1"/>
    <col min="641" max="641" width="9.85546875" bestFit="1" customWidth="1"/>
    <col min="642" max="642" width="10.28515625" bestFit="1" customWidth="1"/>
    <col min="644" max="644" width="13" bestFit="1" customWidth="1"/>
    <col min="645" max="645" width="14.140625" bestFit="1" customWidth="1"/>
    <col min="646" max="646" width="15.7109375" bestFit="1" customWidth="1"/>
    <col min="647" max="647" width="12.85546875" bestFit="1" customWidth="1"/>
    <col min="648" max="648" width="13.140625" bestFit="1" customWidth="1"/>
    <col min="649" max="649" width="15.28515625" bestFit="1" customWidth="1"/>
    <col min="650" max="650" width="12" bestFit="1" customWidth="1"/>
    <col min="651" max="651" width="13.28515625" bestFit="1" customWidth="1"/>
    <col min="652" max="652" width="11.7109375" bestFit="1" customWidth="1"/>
    <col min="653" max="653" width="13" bestFit="1" customWidth="1"/>
    <col min="654" max="654" width="10.42578125" bestFit="1" customWidth="1"/>
    <col min="655" max="655" width="13.28515625" bestFit="1" customWidth="1"/>
    <col min="656" max="656" width="14.140625" bestFit="1" customWidth="1"/>
    <col min="657" max="657" width="11.85546875" bestFit="1" customWidth="1"/>
    <col min="658" max="658" width="10.140625" bestFit="1" customWidth="1"/>
    <col min="659" max="659" width="9.42578125" bestFit="1" customWidth="1"/>
    <col min="660" max="660" width="10.42578125" bestFit="1" customWidth="1"/>
    <col min="661" max="661" width="11.28515625" bestFit="1" customWidth="1"/>
    <col min="662" max="662" width="12.28515625" bestFit="1" customWidth="1"/>
    <col min="663" max="663" width="9.85546875" bestFit="1" customWidth="1"/>
    <col min="664" max="664" width="12.28515625" bestFit="1" customWidth="1"/>
    <col min="665" max="665" width="10.140625" bestFit="1" customWidth="1"/>
    <col min="666" max="666" width="13.140625" bestFit="1" customWidth="1"/>
    <col min="667" max="667" width="10.42578125" bestFit="1" customWidth="1"/>
    <col min="668" max="669" width="12.28515625" bestFit="1" customWidth="1"/>
    <col min="670" max="670" width="10.28515625" bestFit="1" customWidth="1"/>
    <col min="671" max="671" width="15" bestFit="1" customWidth="1"/>
    <col min="672" max="672" width="12.28515625" bestFit="1" customWidth="1"/>
    <col min="673" max="673" width="11.85546875" bestFit="1" customWidth="1"/>
    <col min="674" max="675" width="11.28515625" bestFit="1" customWidth="1"/>
    <col min="676" max="677" width="12.42578125" bestFit="1" customWidth="1"/>
    <col min="678" max="678" width="10.140625" bestFit="1" customWidth="1"/>
    <col min="679" max="679" width="12.7109375" bestFit="1" customWidth="1"/>
    <col min="680" max="680" width="9.85546875" bestFit="1" customWidth="1"/>
    <col min="681" max="681" width="11.85546875" bestFit="1" customWidth="1"/>
    <col min="682" max="682" width="18.28515625" bestFit="1" customWidth="1"/>
    <col min="683" max="683" width="14" bestFit="1" customWidth="1"/>
    <col min="684" max="684" width="10.42578125" bestFit="1" customWidth="1"/>
    <col min="685" max="685" width="13.7109375" bestFit="1" customWidth="1"/>
    <col min="686" max="686" width="11.140625" bestFit="1" customWidth="1"/>
    <col min="688" max="688" width="13.140625" bestFit="1" customWidth="1"/>
    <col min="689" max="689" width="11.42578125" bestFit="1" customWidth="1"/>
    <col min="690" max="690" width="13" bestFit="1" customWidth="1"/>
    <col min="691" max="691" width="10" bestFit="1" customWidth="1"/>
    <col min="692" max="692" width="12.85546875" bestFit="1" customWidth="1"/>
    <col min="693" max="693" width="8.7109375" bestFit="1" customWidth="1"/>
    <col min="694" max="694" width="8" bestFit="1" customWidth="1"/>
    <col min="695" max="695" width="10.7109375" bestFit="1" customWidth="1"/>
    <col min="696" max="696" width="12.7109375" bestFit="1" customWidth="1"/>
    <col min="698" max="698" width="13.42578125" bestFit="1" customWidth="1"/>
    <col min="699" max="699" width="13.85546875" bestFit="1" customWidth="1"/>
    <col min="700" max="700" width="14.140625" bestFit="1" customWidth="1"/>
    <col min="701" max="701" width="16.7109375" bestFit="1" customWidth="1"/>
    <col min="702" max="702" width="13.85546875" bestFit="1" customWidth="1"/>
    <col min="703" max="703" width="16.7109375" bestFit="1" customWidth="1"/>
    <col min="704" max="704" width="12.28515625" bestFit="1" customWidth="1"/>
    <col min="705" max="705" width="8.42578125" bestFit="1" customWidth="1"/>
    <col min="706" max="706" width="9.85546875" bestFit="1" customWidth="1"/>
    <col min="707" max="707" width="12" bestFit="1" customWidth="1"/>
    <col min="708" max="708" width="12.140625" bestFit="1" customWidth="1"/>
    <col min="709" max="709" width="16.28515625" bestFit="1" customWidth="1"/>
    <col min="710" max="710" width="15.42578125" bestFit="1" customWidth="1"/>
    <col min="711" max="711" width="15.140625" bestFit="1" customWidth="1"/>
    <col min="712" max="712" width="13.85546875" bestFit="1" customWidth="1"/>
    <col min="713" max="713" width="15" bestFit="1" customWidth="1"/>
    <col min="714" max="714" width="12.7109375" bestFit="1" customWidth="1"/>
    <col min="715" max="715" width="11.42578125" bestFit="1" customWidth="1"/>
    <col min="716" max="716" width="10.140625" bestFit="1" customWidth="1"/>
    <col min="717" max="717" width="13.85546875" bestFit="1" customWidth="1"/>
    <col min="718" max="718" width="12.28515625" bestFit="1" customWidth="1"/>
    <col min="719" max="719" width="19" bestFit="1" customWidth="1"/>
    <col min="720" max="721" width="14.7109375" bestFit="1" customWidth="1"/>
    <col min="722" max="722" width="8.42578125" bestFit="1" customWidth="1"/>
    <col min="723" max="723" width="9.28515625" bestFit="1" customWidth="1"/>
    <col min="724" max="724" width="14.28515625" bestFit="1" customWidth="1"/>
    <col min="725" max="725" width="11.28515625" bestFit="1" customWidth="1"/>
    <col min="726" max="726" width="10.140625" bestFit="1" customWidth="1"/>
    <col min="727" max="727" width="11.140625" bestFit="1" customWidth="1"/>
    <col min="728" max="728" width="15.42578125" bestFit="1" customWidth="1"/>
    <col min="729" max="729" width="10.42578125" bestFit="1" customWidth="1"/>
    <col min="730" max="730" width="14.140625" bestFit="1" customWidth="1"/>
    <col min="732" max="732" width="12" bestFit="1" customWidth="1"/>
    <col min="733" max="733" width="18.140625" bestFit="1" customWidth="1"/>
    <col min="734" max="734" width="12.7109375" bestFit="1" customWidth="1"/>
    <col min="735" max="735" width="12.28515625" bestFit="1" customWidth="1"/>
    <col min="736" max="736" width="13.28515625" bestFit="1" customWidth="1"/>
    <col min="737" max="737" width="14.28515625" bestFit="1" customWidth="1"/>
    <col min="738" max="738" width="13" bestFit="1" customWidth="1"/>
    <col min="739" max="739" width="11.85546875" bestFit="1" customWidth="1"/>
    <col min="740" max="740" width="10.42578125" bestFit="1" customWidth="1"/>
    <col min="741" max="741" width="13.7109375" bestFit="1" customWidth="1"/>
    <col min="742" max="742" width="12" bestFit="1" customWidth="1"/>
    <col min="743" max="743" width="15.140625" bestFit="1" customWidth="1"/>
    <col min="744" max="744" width="10.42578125" bestFit="1" customWidth="1"/>
    <col min="745" max="745" width="11.7109375" bestFit="1" customWidth="1"/>
    <col min="746" max="746" width="14.7109375" bestFit="1" customWidth="1"/>
    <col min="747" max="747" width="14" bestFit="1" customWidth="1"/>
    <col min="749" max="749" width="14.140625" bestFit="1" customWidth="1"/>
    <col min="750" max="750" width="13.140625" bestFit="1" customWidth="1"/>
    <col min="751" max="751" width="14.28515625" bestFit="1" customWidth="1"/>
    <col min="752" max="752" width="12.28515625" bestFit="1" customWidth="1"/>
    <col min="753" max="753" width="11.85546875" bestFit="1" customWidth="1"/>
    <col min="754" max="754" width="18.85546875" bestFit="1" customWidth="1"/>
    <col min="755" max="755" width="14.85546875" bestFit="1" customWidth="1"/>
    <col min="756" max="756" width="9.42578125" bestFit="1" customWidth="1"/>
    <col min="757" max="757" width="11.7109375" bestFit="1" customWidth="1"/>
    <col min="758" max="758" width="13.28515625" bestFit="1" customWidth="1"/>
    <col min="759" max="759" width="12.7109375" bestFit="1" customWidth="1"/>
    <col min="760" max="760" width="12" bestFit="1" customWidth="1"/>
    <col min="761" max="761" width="10.42578125" bestFit="1" customWidth="1"/>
    <col min="762" max="762" width="15.140625" bestFit="1" customWidth="1"/>
    <col min="763" max="763" width="15.42578125" bestFit="1" customWidth="1"/>
    <col min="764" max="764" width="12.42578125" bestFit="1" customWidth="1"/>
    <col min="765" max="765" width="15.42578125" bestFit="1" customWidth="1"/>
    <col min="766" max="766" width="13" bestFit="1" customWidth="1"/>
    <col min="767" max="767" width="14" bestFit="1" customWidth="1"/>
    <col min="768" max="768" width="13.140625" bestFit="1" customWidth="1"/>
    <col min="769" max="769" width="12.7109375" bestFit="1" customWidth="1"/>
    <col min="770" max="770" width="11.7109375" bestFit="1" customWidth="1"/>
    <col min="771" max="771" width="13.140625" bestFit="1" customWidth="1"/>
    <col min="772" max="772" width="11.7109375" bestFit="1" customWidth="1"/>
    <col min="773" max="773" width="10" bestFit="1" customWidth="1"/>
    <col min="774" max="774" width="11" bestFit="1" customWidth="1"/>
    <col min="775" max="775" width="14.140625" bestFit="1" customWidth="1"/>
    <col min="776" max="776" width="11.42578125" bestFit="1" customWidth="1"/>
    <col min="778" max="778" width="13.28515625" bestFit="1" customWidth="1"/>
    <col min="779" max="779" width="13" bestFit="1" customWidth="1"/>
    <col min="780" max="780" width="14.85546875" bestFit="1" customWidth="1"/>
    <col min="781" max="781" width="16" bestFit="1" customWidth="1"/>
    <col min="782" max="782" width="12.7109375" bestFit="1" customWidth="1"/>
    <col min="783" max="783" width="12.140625" bestFit="1" customWidth="1"/>
    <col min="784" max="784" width="13.28515625" bestFit="1" customWidth="1"/>
    <col min="785" max="785" width="11.42578125" bestFit="1" customWidth="1"/>
    <col min="786" max="786" width="13" bestFit="1" customWidth="1"/>
    <col min="787" max="787" width="10.7109375" bestFit="1" customWidth="1"/>
    <col min="788" max="788" width="12.7109375" bestFit="1" customWidth="1"/>
    <col min="789" max="789" width="15.140625" bestFit="1" customWidth="1"/>
    <col min="790" max="790" width="13.42578125" bestFit="1" customWidth="1"/>
    <col min="791" max="791" width="12.85546875" bestFit="1" customWidth="1"/>
    <col min="792" max="792" width="17.140625" bestFit="1" customWidth="1"/>
    <col min="793" max="793" width="15.85546875" bestFit="1" customWidth="1"/>
    <col min="794" max="794" width="12" bestFit="1" customWidth="1"/>
    <col min="797" max="797" width="12.140625" bestFit="1" customWidth="1"/>
    <col min="798" max="798" width="14.42578125" bestFit="1" customWidth="1"/>
    <col min="799" max="799" width="12.7109375" bestFit="1" customWidth="1"/>
    <col min="800" max="800" width="10.140625" bestFit="1" customWidth="1"/>
    <col min="801" max="801" width="10.28515625" bestFit="1" customWidth="1"/>
    <col min="802" max="802" width="12.7109375" bestFit="1" customWidth="1"/>
    <col min="803" max="804" width="12.140625" bestFit="1" customWidth="1"/>
    <col min="805" max="805" width="14.140625" bestFit="1" customWidth="1"/>
    <col min="806" max="806" width="13.140625" bestFit="1" customWidth="1"/>
    <col min="807" max="807" width="9.42578125" bestFit="1" customWidth="1"/>
    <col min="808" max="808" width="11.85546875" bestFit="1" customWidth="1"/>
    <col min="809" max="809" width="10.42578125" bestFit="1" customWidth="1"/>
    <col min="810" max="810" width="13.7109375" bestFit="1" customWidth="1"/>
    <col min="811" max="811" width="13.28515625" bestFit="1" customWidth="1"/>
    <col min="813" max="813" width="13" bestFit="1" customWidth="1"/>
    <col min="814" max="814" width="13.7109375" bestFit="1" customWidth="1"/>
    <col min="815" max="815" width="14.28515625" bestFit="1" customWidth="1"/>
    <col min="816" max="816" width="10.42578125" bestFit="1" customWidth="1"/>
    <col min="817" max="817" width="9.42578125" bestFit="1" customWidth="1"/>
    <col min="818" max="818" width="12.140625" bestFit="1" customWidth="1"/>
    <col min="819" max="819" width="15.42578125" bestFit="1" customWidth="1"/>
    <col min="820" max="820" width="13" bestFit="1" customWidth="1"/>
    <col min="821" max="821" width="12.140625" bestFit="1" customWidth="1"/>
    <col min="822" max="822" width="9.140625" bestFit="1" customWidth="1"/>
    <col min="823" max="823" width="11.42578125" bestFit="1" customWidth="1"/>
    <col min="824" max="824" width="13.140625" bestFit="1" customWidth="1"/>
    <col min="825" max="825" width="11.85546875" bestFit="1" customWidth="1"/>
    <col min="826" max="826" width="10.28515625" bestFit="1" customWidth="1"/>
    <col min="827" max="827" width="13.140625" bestFit="1" customWidth="1"/>
    <col min="828" max="828" width="12.42578125" bestFit="1" customWidth="1"/>
    <col min="829" max="829" width="11.140625" bestFit="1" customWidth="1"/>
    <col min="830" max="830" width="15.85546875" bestFit="1" customWidth="1"/>
    <col min="831" max="831" width="14.85546875" bestFit="1" customWidth="1"/>
    <col min="832" max="832" width="15.85546875" bestFit="1" customWidth="1"/>
    <col min="833" max="833" width="9" bestFit="1" customWidth="1"/>
    <col min="834" max="834" width="10" bestFit="1" customWidth="1"/>
    <col min="836" max="836" width="13.85546875" bestFit="1" customWidth="1"/>
    <col min="837" max="837" width="15.85546875" bestFit="1" customWidth="1"/>
    <col min="838" max="838" width="11.85546875" bestFit="1" customWidth="1"/>
    <col min="839" max="839" width="11.7109375" bestFit="1" customWidth="1"/>
    <col min="840" max="840" width="10.7109375" bestFit="1" customWidth="1"/>
    <col min="841" max="841" width="13.28515625" bestFit="1" customWidth="1"/>
    <col min="842" max="842" width="15.7109375" bestFit="1" customWidth="1"/>
    <col min="843" max="843" width="15" bestFit="1" customWidth="1"/>
    <col min="844" max="844" width="10.140625" bestFit="1" customWidth="1"/>
    <col min="845" max="845" width="16" bestFit="1" customWidth="1"/>
    <col min="846" max="846" width="13.7109375" bestFit="1" customWidth="1"/>
    <col min="847" max="847" width="10.28515625" bestFit="1" customWidth="1"/>
    <col min="848" max="848" width="15.42578125" bestFit="1" customWidth="1"/>
    <col min="849" max="849" width="12.7109375" bestFit="1" customWidth="1"/>
    <col min="850" max="850" width="9.28515625" bestFit="1" customWidth="1"/>
    <col min="851" max="851" width="17.85546875" bestFit="1" customWidth="1"/>
    <col min="852" max="852" width="10.42578125" bestFit="1" customWidth="1"/>
    <col min="853" max="853" width="16.28515625" bestFit="1" customWidth="1"/>
    <col min="854" max="854" width="15.28515625" bestFit="1" customWidth="1"/>
    <col min="855" max="855" width="12.140625" bestFit="1" customWidth="1"/>
    <col min="856" max="856" width="13.7109375" bestFit="1" customWidth="1"/>
    <col min="857" max="857" width="11.85546875" bestFit="1" customWidth="1"/>
    <col min="858" max="858" width="12.140625" bestFit="1" customWidth="1"/>
    <col min="859" max="859" width="10.28515625" bestFit="1" customWidth="1"/>
    <col min="860" max="860" width="15.140625" bestFit="1" customWidth="1"/>
    <col min="861" max="861" width="10.7109375" bestFit="1" customWidth="1"/>
    <col min="862" max="862" width="14" bestFit="1" customWidth="1"/>
    <col min="863" max="863" width="11.42578125" bestFit="1" customWidth="1"/>
    <col min="864" max="864" width="12.140625" bestFit="1" customWidth="1"/>
    <col min="865" max="865" width="12.28515625" bestFit="1" customWidth="1"/>
    <col min="866" max="866" width="14.28515625" bestFit="1" customWidth="1"/>
    <col min="867" max="867" width="12.7109375" bestFit="1" customWidth="1"/>
    <col min="868" max="868" width="11" bestFit="1" customWidth="1"/>
    <col min="869" max="869" width="14.7109375" bestFit="1" customWidth="1"/>
    <col min="870" max="870" width="15.85546875" bestFit="1" customWidth="1"/>
    <col min="871" max="871" width="14.7109375" bestFit="1" customWidth="1"/>
    <col min="872" max="872" width="15.28515625" bestFit="1" customWidth="1"/>
    <col min="873" max="873" width="14" bestFit="1" customWidth="1"/>
    <col min="874" max="874" width="11.42578125" bestFit="1" customWidth="1"/>
    <col min="875" max="875" width="11" bestFit="1" customWidth="1"/>
    <col min="876" max="876" width="13.140625" bestFit="1" customWidth="1"/>
    <col min="877" max="877" width="13" bestFit="1" customWidth="1"/>
    <col min="878" max="878" width="11.85546875" bestFit="1" customWidth="1"/>
    <col min="879" max="879" width="11.42578125" bestFit="1" customWidth="1"/>
    <col min="880" max="880" width="17.42578125" bestFit="1" customWidth="1"/>
    <col min="881" max="881" width="14.7109375" bestFit="1" customWidth="1"/>
    <col min="882" max="882" width="13.7109375" bestFit="1" customWidth="1"/>
    <col min="883" max="883" width="13.85546875" bestFit="1" customWidth="1"/>
    <col min="884" max="884" width="15.7109375" bestFit="1" customWidth="1"/>
    <col min="885" max="885" width="13.140625" bestFit="1" customWidth="1"/>
    <col min="886" max="886" width="14.28515625" bestFit="1" customWidth="1"/>
    <col min="887" max="887" width="14.140625" bestFit="1" customWidth="1"/>
    <col min="888" max="888" width="12.28515625" bestFit="1" customWidth="1"/>
    <col min="890" max="890" width="16.7109375" bestFit="1" customWidth="1"/>
    <col min="891" max="891" width="16" bestFit="1" customWidth="1"/>
    <col min="892" max="892" width="11.85546875" bestFit="1" customWidth="1"/>
    <col min="893" max="893" width="13" bestFit="1" customWidth="1"/>
    <col min="894" max="894" width="12.28515625" bestFit="1" customWidth="1"/>
    <col min="896" max="896" width="10.140625" bestFit="1" customWidth="1"/>
    <col min="897" max="897" width="11.42578125" bestFit="1" customWidth="1"/>
    <col min="898" max="898" width="11.28515625" bestFit="1" customWidth="1"/>
    <col min="899" max="899" width="10" bestFit="1" customWidth="1"/>
    <col min="900" max="900" width="12.85546875" bestFit="1" customWidth="1"/>
    <col min="901" max="901" width="15.85546875" bestFit="1" customWidth="1"/>
    <col min="902" max="902" width="12.42578125" bestFit="1" customWidth="1"/>
    <col min="903" max="903" width="11.28515625" bestFit="1" customWidth="1"/>
    <col min="904" max="904" width="13.7109375" bestFit="1" customWidth="1"/>
    <col min="905" max="905" width="11.42578125" bestFit="1" customWidth="1"/>
    <col min="906" max="906" width="10.7109375" bestFit="1" customWidth="1"/>
    <col min="907" max="907" width="16.7109375" bestFit="1" customWidth="1"/>
    <col min="908" max="908" width="14.42578125" bestFit="1" customWidth="1"/>
    <col min="909" max="909" width="12" bestFit="1" customWidth="1"/>
    <col min="910" max="910" width="12.7109375" bestFit="1" customWidth="1"/>
    <col min="911" max="911" width="10.140625" bestFit="1" customWidth="1"/>
    <col min="912" max="912" width="11.42578125" bestFit="1" customWidth="1"/>
    <col min="913" max="913" width="10.7109375" bestFit="1" customWidth="1"/>
    <col min="914" max="914" width="12.28515625" bestFit="1" customWidth="1"/>
  </cols>
  <sheetData>
    <row r="3" spans="1:27" x14ac:dyDescent="0.25">
      <c r="A3" s="6" t="s">
        <v>4</v>
      </c>
      <c r="B3" t="s">
        <v>6206</v>
      </c>
    </row>
    <row r="4" spans="1:27" x14ac:dyDescent="0.25">
      <c r="A4" t="s">
        <v>3753</v>
      </c>
      <c r="B4" s="8">
        <v>278.01</v>
      </c>
    </row>
    <row r="5" spans="1:27" x14ac:dyDescent="0.25">
      <c r="A5" t="s">
        <v>1598</v>
      </c>
      <c r="B5" s="8">
        <v>281.67499999999995</v>
      </c>
    </row>
    <row r="6" spans="1:27" x14ac:dyDescent="0.25">
      <c r="A6" t="s">
        <v>2587</v>
      </c>
      <c r="B6" s="8">
        <v>289.11</v>
      </c>
    </row>
    <row r="7" spans="1:27" x14ac:dyDescent="0.25">
      <c r="A7" t="s">
        <v>5765</v>
      </c>
      <c r="B7" s="8">
        <v>307.04499999999996</v>
      </c>
    </row>
    <row r="8" spans="1:27" x14ac:dyDescent="0.25">
      <c r="A8" t="s">
        <v>5114</v>
      </c>
      <c r="B8" s="8">
        <v>317.06999999999994</v>
      </c>
    </row>
    <row r="15" spans="1:27" x14ac:dyDescent="0.25">
      <c r="AA15" t="s">
        <v>6207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43CE3-8FC6-0B4D-AF07-B10C4A12B53F}">
  <dimension ref="A1"/>
  <sheetViews>
    <sheetView showGridLines="0" tabSelected="1" zoomScale="87" zoomScaleNormal="87" workbookViewId="0">
      <selection activeCell="AB32" sqref="AB32"/>
    </sheetView>
  </sheetViews>
  <sheetFormatPr defaultColWidth="11.42578125" defaultRowHeight="15" x14ac:dyDescent="0.25"/>
  <cols>
    <col min="1" max="1" width="1.855468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15" zoomScaleNormal="115" workbookViewId="0">
      <selection activeCell="F6" sqref="F6"/>
    </sheetView>
  </sheetViews>
  <sheetFormatPr defaultColWidth="8.85546875" defaultRowHeight="15" x14ac:dyDescent="0.25"/>
  <cols>
    <col min="1" max="1" width="15" bestFit="1" customWidth="1"/>
    <col min="2" max="2" width="12.7109375" bestFit="1" customWidth="1"/>
    <col min="3" max="3" width="15.85546875" bestFit="1" customWidth="1"/>
    <col min="4" max="4" width="11.140625" customWidth="1"/>
    <col min="5" max="5" width="9.7109375" customWidth="1"/>
    <col min="6" max="6" width="20.42578125" bestFit="1" customWidth="1"/>
    <col min="7" max="7" width="33.85546875" bestFit="1" customWidth="1"/>
    <col min="8" max="8" width="13.42578125" bestFit="1" customWidth="1"/>
    <col min="9" max="9" width="12" customWidth="1"/>
    <col min="10" max="10" width="11.28515625" customWidth="1"/>
    <col min="11" max="11" width="6" customWidth="1"/>
    <col min="12" max="12" width="10.42578125" customWidth="1"/>
    <col min="13" max="13" width="8.7109375" bestFit="1" customWidth="1"/>
    <col min="14" max="14" width="16.85546875" customWidth="1"/>
    <col min="15" max="15" width="16.140625" customWidth="1"/>
    <col min="16" max="16" width="13"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_xlfn.XLOOKUP(orders!C2,customers!$A$2:$A$1001,customers!$B$2:$B$1001)</f>
        <v>Aloisia Allner</v>
      </c>
      <c r="G2" s="2" t="str">
        <f>IF(_xlfn.XLOOKUP(C2,customers!$A$2:$A$1001,customers!$C$2:$C$1001,,)=0,"",_xlfn.XLOOKUP(C2,customers!$A$2:$A$1001,customers!$C$2:$C$1001,,))</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cm="1">
        <f t="array" ref="N2">_xlfn.IFS(I2="Rob","Robusta",I2="Exc","Excelsa",I2="Ara","Arabica",I2="Lib","Liberica")</f>
        <v>Robusta</v>
      </c>
      <c r="O2" t="str" cm="1">
        <f t="array" ref="O2">_xlfn.IFS(J2="M","Medium",J2="L","Light",J2="D","Dark")</f>
        <v>Medium</v>
      </c>
      <c r="P2" t="str">
        <f>_xlfn.XLOOKUP(Orders[[#This Row],[Customer ID]],customers!$A$1:$A$1001,customers!$I$1:$I$1001,,0)</f>
        <v>Yes</v>
      </c>
    </row>
    <row r="3" spans="1:16" x14ac:dyDescent="0.25">
      <c r="A3" s="2" t="s">
        <v>490</v>
      </c>
      <c r="B3" s="3">
        <v>43713</v>
      </c>
      <c r="C3" s="2" t="s">
        <v>491</v>
      </c>
      <c r="D3" t="s">
        <v>6139</v>
      </c>
      <c r="E3" s="2">
        <v>5</v>
      </c>
      <c r="F3" s="2" t="str">
        <f>_xlfn.XLOOKUP(orders!C3,customers!$A$2:$A$1001,customers!$B$2:$B$1001)</f>
        <v>Aloisia Allner</v>
      </c>
      <c r="G3" s="2" t="str">
        <f>IF(_xlfn.XLOOKUP(C3,customers!$A$2:$A$1001,customers!$C$2:$C$1001,,)=0,"",_xlfn.XLOOKUP(C3,customers!$A$2:$A$1001,customers!$C$2:$C$1001,,))</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cm="1">
        <f t="array" ref="N3">_xlfn.IFS(I3="Rob","Robusta",I3="Exc","Excelsa",I3="Ara","Arabica",I3="Lib","Liberica")</f>
        <v>Excelsa</v>
      </c>
      <c r="O3" t="str" cm="1">
        <f t="array" ref="O3">_xlfn.IFS(J3="M","Medium",J3="L","Light",J3="D","Dark")</f>
        <v>Medium</v>
      </c>
      <c r="P3" t="str">
        <f>_xlfn.XLOOKUP(Orders[[#This Row],[Customer ID]],customers!$A$1:$A$1001,customers!$I$1:$I$1001,,0)</f>
        <v>Yes</v>
      </c>
    </row>
    <row r="4" spans="1:16" x14ac:dyDescent="0.25">
      <c r="A4" s="2" t="s">
        <v>501</v>
      </c>
      <c r="B4" s="3">
        <v>44364</v>
      </c>
      <c r="C4" s="2" t="s">
        <v>502</v>
      </c>
      <c r="D4" t="s">
        <v>6140</v>
      </c>
      <c r="E4" s="2">
        <v>1</v>
      </c>
      <c r="F4" s="2" t="str">
        <f>_xlfn.XLOOKUP(orders!C4,customers!$A$2:$A$1001,customers!$B$2:$B$1001)</f>
        <v>Jami Redholes</v>
      </c>
      <c r="G4" s="2" t="str">
        <f>IF(_xlfn.XLOOKUP(C4,customers!$A$2:$A$1001,customers!$C$2:$C$1001,,)=0,"",_xlfn.XLOOKUP(C4,customers!$A$2:$A$1001,customers!$C$2:$C$1001,,))</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_xlfn.IFS(I4="Rob","Robusta",I4="Exc","Excelsa",I4="Ara","Arabica",I4="Lib","Liberica")</f>
        <v>Arabica</v>
      </c>
      <c r="O4" t="str" cm="1">
        <f t="array" ref="O4">_xlfn.IFS(J4="M","Medium",J4="L","Light",J4="D","Dark")</f>
        <v>Light</v>
      </c>
      <c r="P4" t="str">
        <f>_xlfn.XLOOKUP(Orders[[#This Row],[Customer ID]],customers!$A$1:$A$1001,customers!$I$1:$I$1001,,0)</f>
        <v>Yes</v>
      </c>
    </row>
    <row r="5" spans="1:16" x14ac:dyDescent="0.25">
      <c r="A5" s="2" t="s">
        <v>512</v>
      </c>
      <c r="B5" s="3">
        <v>44392</v>
      </c>
      <c r="C5" s="2" t="s">
        <v>513</v>
      </c>
      <c r="D5" t="s">
        <v>6141</v>
      </c>
      <c r="E5" s="2">
        <v>2</v>
      </c>
      <c r="F5" s="2" t="str">
        <f>_xlfn.XLOOKUP(orders!C5,customers!$A$2:$A$1001,customers!$B$2:$B$1001)</f>
        <v>Christoffer O' Shea</v>
      </c>
      <c r="G5" s="2" t="str">
        <f>IF(_xlfn.XLOOKUP(C5,customers!$A$2:$A$1001,customers!$C$2:$C$1001,,)=0,"",_xlfn.XLOOKUP(C5,customers!$A$2:$A$1001,customers!$C$2:$C$1001,,))</f>
        <v/>
      </c>
      <c r="H5" s="2" t="str">
        <f>_xlfn.XLOOKUP(C5,customers!$A$2:$A$1001,customers!$G$2:$G$1001,,0)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_xlfn.IFS(I5="Rob","Robusta",I5="Exc","Excelsa",I5="Ara","Arabica",I5="Lib","Liberica")</f>
        <v>Excelsa</v>
      </c>
      <c r="O5" t="str" cm="1">
        <f t="array" ref="O5">_xlfn.IFS(J5="M","Medium",J5="L","Light",J5="D","Dark")</f>
        <v>Medium</v>
      </c>
      <c r="P5" t="str">
        <f>_xlfn.XLOOKUP(Orders[[#This Row],[Customer ID]],customers!$A$1:$A$1001,customers!$I$1:$I$1001,,0)</f>
        <v>No</v>
      </c>
    </row>
    <row r="6" spans="1:16" x14ac:dyDescent="0.25">
      <c r="A6" s="2" t="s">
        <v>512</v>
      </c>
      <c r="B6" s="3">
        <v>44392</v>
      </c>
      <c r="C6" s="2" t="s">
        <v>513</v>
      </c>
      <c r="D6" t="s">
        <v>6142</v>
      </c>
      <c r="E6" s="2">
        <v>2</v>
      </c>
      <c r="F6" s="2" t="str">
        <f>_xlfn.XLOOKUP(orders!C6,customers!$A$2:$A$1001,customers!$B$2:$B$1001)</f>
        <v>Christoffer O' Shea</v>
      </c>
      <c r="G6" s="2" t="str">
        <f>IF(_xlfn.XLOOKUP(C6,customers!$A$2:$A$1001,customers!$C$2:$C$1001,,)=0,"",_xlfn.XLOOKUP(C6,customers!$A$2:$A$1001,customers!$C$2:$C$1001,,))</f>
        <v/>
      </c>
      <c r="H6" s="2" t="str">
        <f>_xlfn.XLOOKUP(C6,customers!$A$2:$A$1001,customers!$G$2:$G$1001,,0)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cm="1">
        <f t="array" ref="N6">_xlfn.IFS(I6="Rob","Robusta",I6="Exc","Excelsa",I6="Ara","Arabica",I6="Lib","Liberica")</f>
        <v>Robusta</v>
      </c>
      <c r="O6" t="str" cm="1">
        <f t="array" ref="O6">_xlfn.IFS(J6="M","Medium",J6="L","Light",J6="D","Dark")</f>
        <v>Light</v>
      </c>
      <c r="P6" t="str">
        <f>_xlfn.XLOOKUP(Orders[[#This Row],[Customer ID]],customers!$A$1:$A$1001,customers!$I$1:$I$1001,,0)</f>
        <v>No</v>
      </c>
    </row>
    <row r="7" spans="1:16" x14ac:dyDescent="0.25">
      <c r="A7" s="2" t="s">
        <v>519</v>
      </c>
      <c r="B7" s="3">
        <v>44412</v>
      </c>
      <c r="C7" s="2" t="s">
        <v>520</v>
      </c>
      <c r="D7" t="s">
        <v>6143</v>
      </c>
      <c r="E7" s="2">
        <v>3</v>
      </c>
      <c r="F7" s="2" t="str">
        <f>_xlfn.XLOOKUP(orders!C7,customers!$A$2:$A$1001,customers!$B$2:$B$1001)</f>
        <v>Beryle Cottier</v>
      </c>
      <c r="G7" s="2" t="str">
        <f>IF(_xlfn.XLOOKUP(C7,customers!$A$2:$A$1001,customers!$C$2:$C$1001,,)=0,"",_xlfn.XLOOKUP(C7,customers!$A$2:$A$1001,customers!$C$2:$C$1001,,))</f>
        <v/>
      </c>
      <c r="H7" s="2" t="str">
        <f>_xlfn.XLOOKUP(C7,customers!$A$2:$A$1001,customers!$G$2:$G$1001,,0)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cm="1">
        <f t="array" ref="N7">_xlfn.IFS(I7="Rob","Robusta",I7="Exc","Excelsa",I7="Ara","Arabica",I7="Lib","Liberica")</f>
        <v>Liberica</v>
      </c>
      <c r="O7" t="str" cm="1">
        <f t="array" ref="O7">_xlfn.IFS(J7="M","Medium",J7="L","Light",J7="D","Dark")</f>
        <v>Dark</v>
      </c>
      <c r="P7" t="str">
        <f>_xlfn.XLOOKUP(Orders[[#This Row],[Customer ID]],customers!$A$1:$A$1001,customers!$I$1:$I$1001,,0)</f>
        <v>No</v>
      </c>
    </row>
    <row r="8" spans="1:16" x14ac:dyDescent="0.25">
      <c r="A8" s="2" t="s">
        <v>524</v>
      </c>
      <c r="B8" s="3">
        <v>44582</v>
      </c>
      <c r="C8" s="2" t="s">
        <v>525</v>
      </c>
      <c r="D8" t="s">
        <v>6144</v>
      </c>
      <c r="E8" s="2">
        <v>3</v>
      </c>
      <c r="F8" s="2" t="str">
        <f>_xlfn.XLOOKUP(orders!C8,customers!$A$2:$A$1001,customers!$B$2:$B$1001)</f>
        <v>Shaylynn Lobe</v>
      </c>
      <c r="G8" s="2" t="str">
        <f>IF(_xlfn.XLOOKUP(C8,customers!$A$2:$A$1001,customers!$C$2:$C$1001,,)=0,"",_xlfn.XLOOKUP(C8,customers!$A$2:$A$1001,customers!$C$2:$C$1001,,))</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_xlfn.IFS(I8="Rob","Robusta",I8="Exc","Excelsa",I8="Ara","Arabica",I8="Lib","Liberica")</f>
        <v>Excelsa</v>
      </c>
      <c r="O8" t="str" cm="1">
        <f t="array" ref="O8">_xlfn.IFS(J8="M","Medium",J8="L","Light",J8="D","Dark")</f>
        <v>Dark</v>
      </c>
      <c r="P8" t="str">
        <f>_xlfn.XLOOKUP(Orders[[#This Row],[Customer ID]],customers!$A$1:$A$1001,customers!$I$1:$I$1001,,0)</f>
        <v>Yes</v>
      </c>
    </row>
    <row r="9" spans="1:16" x14ac:dyDescent="0.25">
      <c r="A9" s="2" t="s">
        <v>530</v>
      </c>
      <c r="B9" s="3">
        <v>44701</v>
      </c>
      <c r="C9" s="2" t="s">
        <v>531</v>
      </c>
      <c r="D9" t="s">
        <v>6145</v>
      </c>
      <c r="E9" s="2">
        <v>1</v>
      </c>
      <c r="F9" s="2" t="str">
        <f>_xlfn.XLOOKUP(orders!C9,customers!$A$2:$A$1001,customers!$B$2:$B$1001)</f>
        <v>Melvin Wharfe</v>
      </c>
      <c r="G9" s="2" t="str">
        <f>IF(_xlfn.XLOOKUP(C9,customers!$A$2:$A$1001,customers!$C$2:$C$1001,,)=0,"",_xlfn.XLOOKUP(C9,customers!$A$2:$A$1001,customers!$C$2:$C$1001,,))</f>
        <v/>
      </c>
      <c r="H9" s="2" t="str">
        <f>_xlfn.XLOOKUP(C9,customers!$A$2:$A$1001,customers!$G$2:$G$1001,,0)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cm="1">
        <f t="array" ref="N9">_xlfn.IFS(I9="Rob","Robusta",I9="Exc","Excelsa",I9="Ara","Arabica",I9="Lib","Liberica")</f>
        <v>Liberica</v>
      </c>
      <c r="O9" t="str" cm="1">
        <f t="array" ref="O9">_xlfn.IFS(J9="M","Medium",J9="L","Light",J9="D","Dark")</f>
        <v>Light</v>
      </c>
      <c r="P9" t="str">
        <f>_xlfn.XLOOKUP(Orders[[#This Row],[Customer ID]],customers!$A$1:$A$1001,customers!$I$1:$I$1001,,0)</f>
        <v>Yes</v>
      </c>
    </row>
    <row r="10" spans="1:16" x14ac:dyDescent="0.25">
      <c r="A10" s="2" t="s">
        <v>535</v>
      </c>
      <c r="B10" s="3">
        <v>43467</v>
      </c>
      <c r="C10" s="2" t="s">
        <v>536</v>
      </c>
      <c r="D10" t="s">
        <v>6146</v>
      </c>
      <c r="E10" s="2">
        <v>3</v>
      </c>
      <c r="F10" s="2" t="str">
        <f>_xlfn.XLOOKUP(orders!C10,customers!$A$2:$A$1001,customers!$B$2:$B$1001)</f>
        <v>Guthrey Petracci</v>
      </c>
      <c r="G10" s="2" t="str">
        <f>IF(_xlfn.XLOOKUP(C10,customers!$A$2:$A$1001,customers!$C$2:$C$1001,,)=0,"",_xlfn.XLOOKUP(C10,customers!$A$2:$A$1001,customers!$C$2:$C$1001,,))</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_xlfn.IFS(I10="Rob","Robusta",I10="Exc","Excelsa",I10="Ara","Arabica",I10="Lib","Liberica")</f>
        <v>Robusta</v>
      </c>
      <c r="O10" t="str" cm="1">
        <f t="array" ref="O10">_xlfn.IFS(J10="M","Medium",J10="L","Light",J10="D","Dark")</f>
        <v>Medium</v>
      </c>
      <c r="P10" t="str">
        <f>_xlfn.XLOOKUP(Orders[[#This Row],[Customer ID]],customers!$A$1:$A$1001,customers!$I$1:$I$1001,,0)</f>
        <v>No</v>
      </c>
    </row>
    <row r="11" spans="1:16" x14ac:dyDescent="0.25">
      <c r="A11" s="2" t="s">
        <v>541</v>
      </c>
      <c r="B11" s="3">
        <v>43713</v>
      </c>
      <c r="C11" s="2" t="s">
        <v>542</v>
      </c>
      <c r="D11" t="s">
        <v>6146</v>
      </c>
      <c r="E11" s="2">
        <v>1</v>
      </c>
      <c r="F11" s="2" t="str">
        <f>_xlfn.XLOOKUP(orders!C11,customers!$A$2:$A$1001,customers!$B$2:$B$1001)</f>
        <v>Rodger Raven</v>
      </c>
      <c r="G11" s="2" t="str">
        <f>IF(_xlfn.XLOOKUP(C11,customers!$A$2:$A$1001,customers!$C$2:$C$1001,,)=0,"",_xlfn.XLOOKUP(C11,customers!$A$2:$A$1001,customers!$C$2:$C$1001,,))</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_xlfn.IFS(I11="Rob","Robusta",I11="Exc","Excelsa",I11="Ara","Arabica",I11="Lib","Liberica")</f>
        <v>Robusta</v>
      </c>
      <c r="O11" t="str" cm="1">
        <f t="array" ref="O11">_xlfn.IFS(J11="M","Medium",J11="L","Light",J11="D","Dark")</f>
        <v>Medium</v>
      </c>
      <c r="P11" t="str">
        <f>_xlfn.XLOOKUP(Orders[[#This Row],[Customer ID]],customers!$A$1:$A$1001,customers!$I$1:$I$1001,,0)</f>
        <v>No</v>
      </c>
    </row>
    <row r="12" spans="1:16" x14ac:dyDescent="0.25">
      <c r="A12" s="2" t="s">
        <v>547</v>
      </c>
      <c r="B12" s="3">
        <v>44263</v>
      </c>
      <c r="C12" s="2" t="s">
        <v>548</v>
      </c>
      <c r="D12" t="s">
        <v>6147</v>
      </c>
      <c r="E12" s="2">
        <v>4</v>
      </c>
      <c r="F12" s="2" t="str">
        <f>_xlfn.XLOOKUP(orders!C12,customers!$A$2:$A$1001,customers!$B$2:$B$1001)</f>
        <v>Ferrell Ferber</v>
      </c>
      <c r="G12" s="2" t="str">
        <f>IF(_xlfn.XLOOKUP(C12,customers!$A$2:$A$1001,customers!$C$2:$C$1001,,)=0,"",_xlfn.XLOOKUP(C12,customers!$A$2:$A$1001,customers!$C$2:$C$1001,,))</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_xlfn.IFS(I12="Rob","Robusta",I12="Exc","Excelsa",I12="Ara","Arabica",I12="Lib","Liberica")</f>
        <v>Arabica</v>
      </c>
      <c r="O12" t="str" cm="1">
        <f t="array" ref="O12">_xlfn.IFS(J12="M","Medium",J12="L","Light",J12="D","Dark")</f>
        <v>Dark</v>
      </c>
      <c r="P12" t="str">
        <f>_xlfn.XLOOKUP(Orders[[#This Row],[Customer ID]],customers!$A$1:$A$1001,customers!$I$1:$I$1001,,0)</f>
        <v>No</v>
      </c>
    </row>
    <row r="13" spans="1:16" x14ac:dyDescent="0.25">
      <c r="A13" s="2" t="s">
        <v>553</v>
      </c>
      <c r="B13" s="3">
        <v>44132</v>
      </c>
      <c r="C13" s="2" t="s">
        <v>554</v>
      </c>
      <c r="D13" t="s">
        <v>6148</v>
      </c>
      <c r="E13" s="2">
        <v>5</v>
      </c>
      <c r="F13" s="2" t="str">
        <f>_xlfn.XLOOKUP(orders!C13,customers!$A$2:$A$1001,customers!$B$2:$B$1001)</f>
        <v>Duky Phizackerly</v>
      </c>
      <c r="G13" s="2" t="str">
        <f>IF(_xlfn.XLOOKUP(C13,customers!$A$2:$A$1001,customers!$C$2:$C$1001,,)=0,"",_xlfn.XLOOKUP(C13,customers!$A$2:$A$1001,customers!$C$2:$C$1001,,))</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cm="1">
        <f t="array" ref="N13">_xlfn.IFS(I13="Rob","Robusta",I13="Exc","Excelsa",I13="Ara","Arabica",I13="Lib","Liberica")</f>
        <v>Excelsa</v>
      </c>
      <c r="O13" t="str" cm="1">
        <f t="array" ref="O13">_xlfn.IFS(J13="M","Medium",J13="L","Light",J13="D","Dark")</f>
        <v>Light</v>
      </c>
      <c r="P13" t="str">
        <f>_xlfn.XLOOKUP(Orders[[#This Row],[Customer ID]],customers!$A$1:$A$1001,customers!$I$1:$I$1001,,0)</f>
        <v>Yes</v>
      </c>
    </row>
    <row r="14" spans="1:16" x14ac:dyDescent="0.25">
      <c r="A14" s="2" t="s">
        <v>559</v>
      </c>
      <c r="B14" s="3">
        <v>44744</v>
      </c>
      <c r="C14" s="2" t="s">
        <v>560</v>
      </c>
      <c r="D14" t="s">
        <v>6138</v>
      </c>
      <c r="E14" s="2">
        <v>5</v>
      </c>
      <c r="F14" s="2" t="str">
        <f>_xlfn.XLOOKUP(orders!C14,customers!$A$2:$A$1001,customers!$B$2:$B$1001)</f>
        <v>Rosaleen Scholar</v>
      </c>
      <c r="G14" s="2" t="str">
        <f>IF(_xlfn.XLOOKUP(C14,customers!$A$2:$A$1001,customers!$C$2:$C$1001,,)=0,"",_xlfn.XLOOKUP(C14,customers!$A$2:$A$1001,customers!$C$2:$C$1001,,))</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_xlfn.IFS(I14="Rob","Robusta",I14="Exc","Excelsa",I14="Ara","Arabica",I14="Lib","Liberica")</f>
        <v>Robusta</v>
      </c>
      <c r="O14" t="str" cm="1">
        <f t="array" ref="O14">_xlfn.IFS(J14="M","Medium",J14="L","Light",J14="D","Dark")</f>
        <v>Medium</v>
      </c>
      <c r="P14" t="str">
        <f>_xlfn.XLOOKUP(Orders[[#This Row],[Customer ID]],customers!$A$1:$A$1001,customers!$I$1:$I$1001,,0)</f>
        <v>No</v>
      </c>
    </row>
    <row r="15" spans="1:16" x14ac:dyDescent="0.25">
      <c r="A15" s="2" t="s">
        <v>565</v>
      </c>
      <c r="B15" s="3">
        <v>43973</v>
      </c>
      <c r="C15" s="2" t="s">
        <v>566</v>
      </c>
      <c r="D15" t="s">
        <v>6149</v>
      </c>
      <c r="E15" s="2">
        <v>2</v>
      </c>
      <c r="F15" s="2" t="str">
        <f>_xlfn.XLOOKUP(orders!C15,customers!$A$2:$A$1001,customers!$B$2:$B$1001)</f>
        <v>Terence Vanyutin</v>
      </c>
      <c r="G15" s="2" t="str">
        <f>IF(_xlfn.XLOOKUP(C15,customers!$A$2:$A$1001,customers!$C$2:$C$1001,,)=0,"",_xlfn.XLOOKUP(C15,customers!$A$2:$A$1001,customers!$C$2:$C$1001,,))</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cm="1">
        <f t="array" ref="N15">_xlfn.IFS(I15="Rob","Robusta",I15="Exc","Excelsa",I15="Ara","Arabica",I15="Lib","Liberica")</f>
        <v>Robusta</v>
      </c>
      <c r="O15" t="str" cm="1">
        <f t="array" ref="O15">_xlfn.IFS(J15="M","Medium",J15="L","Light",J15="D","Dark")</f>
        <v>Dark</v>
      </c>
      <c r="P15" t="str">
        <f>_xlfn.XLOOKUP(Orders[[#This Row],[Customer ID]],customers!$A$1:$A$1001,customers!$I$1:$I$1001,,0)</f>
        <v>No</v>
      </c>
    </row>
    <row r="16" spans="1:16" x14ac:dyDescent="0.25">
      <c r="A16" s="2" t="s">
        <v>570</v>
      </c>
      <c r="B16" s="3">
        <v>44656</v>
      </c>
      <c r="C16" s="2" t="s">
        <v>571</v>
      </c>
      <c r="D16" t="s">
        <v>6150</v>
      </c>
      <c r="E16" s="2">
        <v>3</v>
      </c>
      <c r="F16" s="2" t="str">
        <f>_xlfn.XLOOKUP(orders!C16,customers!$A$2:$A$1001,customers!$B$2:$B$1001)</f>
        <v>Patrice Trobe</v>
      </c>
      <c r="G16" s="2" t="str">
        <f>IF(_xlfn.XLOOKUP(C16,customers!$A$2:$A$1001,customers!$C$2:$C$1001,,)=0,"",_xlfn.XLOOKUP(C16,customers!$A$2:$A$1001,customers!$C$2:$C$1001,,))</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cm="1">
        <f t="array" ref="N16">_xlfn.IFS(I16="Rob","Robusta",I16="Exc","Excelsa",I16="Ara","Arabica",I16="Lib","Liberica")</f>
        <v>Liberica</v>
      </c>
      <c r="O16" t="str" cm="1">
        <f t="array" ref="O16">_xlfn.IFS(J16="M","Medium",J16="L","Light",J16="D","Dark")</f>
        <v>Dark</v>
      </c>
      <c r="P16" t="str">
        <f>_xlfn.XLOOKUP(Orders[[#This Row],[Customer ID]],customers!$A$1:$A$1001,customers!$I$1:$I$1001,,0)</f>
        <v>Yes</v>
      </c>
    </row>
    <row r="17" spans="1:16" x14ac:dyDescent="0.25">
      <c r="A17" s="2" t="s">
        <v>576</v>
      </c>
      <c r="B17" s="3">
        <v>44719</v>
      </c>
      <c r="C17" s="2" t="s">
        <v>577</v>
      </c>
      <c r="D17" t="s">
        <v>6151</v>
      </c>
      <c r="E17" s="2">
        <v>5</v>
      </c>
      <c r="F17" s="2" t="str">
        <f>_xlfn.XLOOKUP(orders!C17,customers!$A$2:$A$1001,customers!$B$2:$B$1001)</f>
        <v>Llywellyn Oscroft</v>
      </c>
      <c r="G17" s="2" t="str">
        <f>IF(_xlfn.XLOOKUP(C17,customers!$A$2:$A$1001,customers!$C$2:$C$1001,,)=0,"",_xlfn.XLOOKUP(C17,customers!$A$2:$A$1001,customers!$C$2:$C$1001,,))</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cm="1">
        <f t="array" ref="N17">_xlfn.IFS(I17="Rob","Robusta",I17="Exc","Excelsa",I17="Ara","Arabica",I17="Lib","Liberica")</f>
        <v>Robusta</v>
      </c>
      <c r="O17" t="str" cm="1">
        <f t="array" ref="O17">_xlfn.IFS(J17="M","Medium",J17="L","Light",J17="D","Dark")</f>
        <v>Medium</v>
      </c>
      <c r="P17" t="str">
        <f>_xlfn.XLOOKUP(Orders[[#This Row],[Customer ID]],customers!$A$1:$A$1001,customers!$I$1:$I$1001,,0)</f>
        <v>No</v>
      </c>
    </row>
    <row r="18" spans="1:16" x14ac:dyDescent="0.25">
      <c r="A18" s="2" t="s">
        <v>581</v>
      </c>
      <c r="B18" s="3">
        <v>43544</v>
      </c>
      <c r="C18" s="2" t="s">
        <v>582</v>
      </c>
      <c r="D18" t="s">
        <v>6152</v>
      </c>
      <c r="E18" s="2">
        <v>6</v>
      </c>
      <c r="F18" s="2" t="str">
        <f>_xlfn.XLOOKUP(orders!C18,customers!$A$2:$A$1001,customers!$B$2:$B$1001)</f>
        <v>Minni Alabaster</v>
      </c>
      <c r="G18" s="2" t="str">
        <f>IF(_xlfn.XLOOKUP(C18,customers!$A$2:$A$1001,customers!$C$2:$C$1001,,)=0,"",_xlfn.XLOOKUP(C18,customers!$A$2:$A$1001,customers!$C$2:$C$1001,,))</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_xlfn.IFS(I18="Rob","Robusta",I18="Exc","Excelsa",I18="Ara","Arabica",I18="Lib","Liberica")</f>
        <v>Arabica</v>
      </c>
      <c r="O18" t="str" cm="1">
        <f t="array" ref="O18">_xlfn.IFS(J18="M","Medium",J18="L","Light",J18="D","Dark")</f>
        <v>Medium</v>
      </c>
      <c r="P18" t="str">
        <f>_xlfn.XLOOKUP(Orders[[#This Row],[Customer ID]],customers!$A$1:$A$1001,customers!$I$1:$I$1001,,0)</f>
        <v>No</v>
      </c>
    </row>
    <row r="19" spans="1:16" x14ac:dyDescent="0.25">
      <c r="A19" s="2" t="s">
        <v>587</v>
      </c>
      <c r="B19" s="3">
        <v>43757</v>
      </c>
      <c r="C19" s="2" t="s">
        <v>588</v>
      </c>
      <c r="D19" t="s">
        <v>6140</v>
      </c>
      <c r="E19" s="2">
        <v>6</v>
      </c>
      <c r="F19" s="2" t="str">
        <f>_xlfn.XLOOKUP(orders!C19,customers!$A$2:$A$1001,customers!$B$2:$B$1001)</f>
        <v>Rhianon Broxup</v>
      </c>
      <c r="G19" s="2" t="str">
        <f>IF(_xlfn.XLOOKUP(C19,customers!$A$2:$A$1001,customers!$C$2:$C$1001,,)=0,"",_xlfn.XLOOKUP(C19,customers!$A$2:$A$1001,customers!$C$2:$C$1001,,))</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cm="1">
        <f t="array" ref="N19">_xlfn.IFS(I19="Rob","Robusta",I19="Exc","Excelsa",I19="Ara","Arabica",I19="Lib","Liberica")</f>
        <v>Arabica</v>
      </c>
      <c r="O19" t="str" cm="1">
        <f t="array" ref="O19">_xlfn.IFS(J19="M","Medium",J19="L","Light",J19="D","Dark")</f>
        <v>Light</v>
      </c>
      <c r="P19" t="str">
        <f>_xlfn.XLOOKUP(Orders[[#This Row],[Customer ID]],customers!$A$1:$A$1001,customers!$I$1:$I$1001,,0)</f>
        <v>No</v>
      </c>
    </row>
    <row r="20" spans="1:16" x14ac:dyDescent="0.25">
      <c r="A20" s="2" t="s">
        <v>593</v>
      </c>
      <c r="B20" s="3">
        <v>43629</v>
      </c>
      <c r="C20" s="2" t="s">
        <v>594</v>
      </c>
      <c r="D20" t="s">
        <v>6149</v>
      </c>
      <c r="E20" s="2">
        <v>4</v>
      </c>
      <c r="F20" s="2" t="str">
        <f>_xlfn.XLOOKUP(orders!C20,customers!$A$2:$A$1001,customers!$B$2:$B$1001)</f>
        <v>Pall Redford</v>
      </c>
      <c r="G20" s="2" t="str">
        <f>IF(_xlfn.XLOOKUP(C20,customers!$A$2:$A$1001,customers!$C$2:$C$1001,,)=0,"",_xlfn.XLOOKUP(C20,customers!$A$2:$A$1001,customers!$C$2:$C$1001,,))</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cm="1">
        <f t="array" ref="N20">_xlfn.IFS(I20="Rob","Robusta",I20="Exc","Excelsa",I20="Ara","Arabica",I20="Lib","Liberica")</f>
        <v>Robusta</v>
      </c>
      <c r="O20" t="str" cm="1">
        <f t="array" ref="O20">_xlfn.IFS(J20="M","Medium",J20="L","Light",J20="D","Dark")</f>
        <v>Dark</v>
      </c>
      <c r="P20" t="str">
        <f>_xlfn.XLOOKUP(Orders[[#This Row],[Customer ID]],customers!$A$1:$A$1001,customers!$I$1:$I$1001,,0)</f>
        <v>Yes</v>
      </c>
    </row>
    <row r="21" spans="1:16" x14ac:dyDescent="0.25">
      <c r="A21" s="2" t="s">
        <v>598</v>
      </c>
      <c r="B21" s="3">
        <v>44169</v>
      </c>
      <c r="C21" s="2" t="s">
        <v>599</v>
      </c>
      <c r="D21" t="s">
        <v>6152</v>
      </c>
      <c r="E21" s="2">
        <v>5</v>
      </c>
      <c r="F21" s="2" t="str">
        <f>_xlfn.XLOOKUP(orders!C21,customers!$A$2:$A$1001,customers!$B$2:$B$1001)</f>
        <v>Aurea Corradino</v>
      </c>
      <c r="G21" s="2" t="str">
        <f>IF(_xlfn.XLOOKUP(C21,customers!$A$2:$A$1001,customers!$C$2:$C$1001,,)=0,"",_xlfn.XLOOKUP(C21,customers!$A$2:$A$1001,customers!$C$2:$C$1001,,))</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cm="1">
        <f t="array" ref="N21">_xlfn.IFS(I21="Rob","Robusta",I21="Exc","Excelsa",I21="Ara","Arabica",I21="Lib","Liberica")</f>
        <v>Arabica</v>
      </c>
      <c r="O21" t="str" cm="1">
        <f t="array" ref="O21">_xlfn.IFS(J21="M","Medium",J21="L","Light",J21="D","Dark")</f>
        <v>Medium</v>
      </c>
      <c r="P21" t="str">
        <f>_xlfn.XLOOKUP(Orders[[#This Row],[Customer ID]],customers!$A$1:$A$1001,customers!$I$1:$I$1001,,0)</f>
        <v>Yes</v>
      </c>
    </row>
    <row r="22" spans="1:16" x14ac:dyDescent="0.25">
      <c r="A22" s="2" t="s">
        <v>598</v>
      </c>
      <c r="B22" s="3">
        <v>44169</v>
      </c>
      <c r="C22" s="2" t="s">
        <v>599</v>
      </c>
      <c r="D22" t="s">
        <v>6153</v>
      </c>
      <c r="E22" s="2">
        <v>4</v>
      </c>
      <c r="F22" s="2" t="str">
        <f>_xlfn.XLOOKUP(orders!C22,customers!$A$2:$A$1001,customers!$B$2:$B$1001)</f>
        <v>Aurea Corradino</v>
      </c>
      <c r="G22" s="2" t="str">
        <f>IF(_xlfn.XLOOKUP(C22,customers!$A$2:$A$1001,customers!$C$2:$C$1001,,)=0,"",_xlfn.XLOOKUP(C22,customers!$A$2:$A$1001,customers!$C$2:$C$1001,,))</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_xlfn.IFS(I22="Rob","Robusta",I22="Exc","Excelsa",I22="Ara","Arabica",I22="Lib","Liberica")</f>
        <v>Excelsa</v>
      </c>
      <c r="O22" t="str" cm="1">
        <f t="array" ref="O22">_xlfn.IFS(J22="M","Medium",J22="L","Light",J22="D","Dark")</f>
        <v>Dark</v>
      </c>
      <c r="P22" t="str">
        <f>_xlfn.XLOOKUP(Orders[[#This Row],[Customer ID]],customers!$A$1:$A$1001,customers!$I$1:$I$1001,,0)</f>
        <v>Yes</v>
      </c>
    </row>
    <row r="23" spans="1:16" x14ac:dyDescent="0.25">
      <c r="A23" s="2" t="s">
        <v>608</v>
      </c>
      <c r="B23" s="3">
        <v>44169</v>
      </c>
      <c r="C23" s="2" t="s">
        <v>609</v>
      </c>
      <c r="D23" t="s">
        <v>6154</v>
      </c>
      <c r="E23" s="2">
        <v>6</v>
      </c>
      <c r="F23" s="2" t="str">
        <f>_xlfn.XLOOKUP(orders!C23,customers!$A$2:$A$1001,customers!$B$2:$B$1001)</f>
        <v>Avrit Davidowsky</v>
      </c>
      <c r="G23" s="2" t="str">
        <f>IF(_xlfn.XLOOKUP(C23,customers!$A$2:$A$1001,customers!$C$2:$C$1001,,)=0,"",_xlfn.XLOOKUP(C23,customers!$A$2:$A$1001,customers!$C$2:$C$1001,,))</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_xlfn.IFS(I23="Rob","Robusta",I23="Exc","Excelsa",I23="Ara","Arabica",I23="Lib","Liberica")</f>
        <v>Arabica</v>
      </c>
      <c r="O23" t="str" cm="1">
        <f t="array" ref="O23">_xlfn.IFS(J23="M","Medium",J23="L","Light",J23="D","Dark")</f>
        <v>Dark</v>
      </c>
      <c r="P23" t="str">
        <f>_xlfn.XLOOKUP(Orders[[#This Row],[Customer ID]],customers!$A$1:$A$1001,customers!$I$1:$I$1001,,0)</f>
        <v>No</v>
      </c>
    </row>
    <row r="24" spans="1:16" x14ac:dyDescent="0.25">
      <c r="A24" s="2" t="s">
        <v>614</v>
      </c>
      <c r="B24" s="3">
        <v>44218</v>
      </c>
      <c r="C24" s="2" t="s">
        <v>615</v>
      </c>
      <c r="D24" t="s">
        <v>6151</v>
      </c>
      <c r="E24" s="2">
        <v>4</v>
      </c>
      <c r="F24" s="2" t="str">
        <f>_xlfn.XLOOKUP(orders!C24,customers!$A$2:$A$1001,customers!$B$2:$B$1001)</f>
        <v>Annabel Antuk</v>
      </c>
      <c r="G24" s="2" t="str">
        <f>IF(_xlfn.XLOOKUP(C24,customers!$A$2:$A$1001,customers!$C$2:$C$1001,,)=0,"",_xlfn.XLOOKUP(C24,customers!$A$2:$A$1001,customers!$C$2:$C$1001,,))</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cm="1">
        <f t="array" ref="N24">_xlfn.IFS(I24="Rob","Robusta",I24="Exc","Excelsa",I24="Ara","Arabica",I24="Lib","Liberica")</f>
        <v>Robusta</v>
      </c>
      <c r="O24" t="str" cm="1">
        <f t="array" ref="O24">_xlfn.IFS(J24="M","Medium",J24="L","Light",J24="D","Dark")</f>
        <v>Medium</v>
      </c>
      <c r="P24" t="str">
        <f>_xlfn.XLOOKUP(Orders[[#This Row],[Customer ID]],customers!$A$1:$A$1001,customers!$I$1:$I$1001,,0)</f>
        <v>Yes</v>
      </c>
    </row>
    <row r="25" spans="1:16" x14ac:dyDescent="0.25">
      <c r="A25" s="2" t="s">
        <v>620</v>
      </c>
      <c r="B25" s="3">
        <v>44603</v>
      </c>
      <c r="C25" s="2" t="s">
        <v>621</v>
      </c>
      <c r="D25" t="s">
        <v>6154</v>
      </c>
      <c r="E25" s="2">
        <v>4</v>
      </c>
      <c r="F25" s="2" t="str">
        <f>_xlfn.XLOOKUP(orders!C25,customers!$A$2:$A$1001,customers!$B$2:$B$1001)</f>
        <v>Iorgo Kleinert</v>
      </c>
      <c r="G25" s="2" t="str">
        <f>IF(_xlfn.XLOOKUP(C25,customers!$A$2:$A$1001,customers!$C$2:$C$1001,,)=0,"",_xlfn.XLOOKUP(C25,customers!$A$2:$A$1001,customers!$C$2:$C$1001,,))</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_xlfn.IFS(I25="Rob","Robusta",I25="Exc","Excelsa",I25="Ara","Arabica",I25="Lib","Liberica")</f>
        <v>Arabica</v>
      </c>
      <c r="O25" t="str" cm="1">
        <f t="array" ref="O25">_xlfn.IFS(J25="M","Medium",J25="L","Light",J25="D","Dark")</f>
        <v>Dark</v>
      </c>
      <c r="P25" t="str">
        <f>_xlfn.XLOOKUP(Orders[[#This Row],[Customer ID]],customers!$A$1:$A$1001,customers!$I$1:$I$1001,,0)</f>
        <v>Yes</v>
      </c>
    </row>
    <row r="26" spans="1:16" x14ac:dyDescent="0.25">
      <c r="A26" s="2" t="s">
        <v>626</v>
      </c>
      <c r="B26" s="3">
        <v>44454</v>
      </c>
      <c r="C26" s="2" t="s">
        <v>627</v>
      </c>
      <c r="D26" t="s">
        <v>6155</v>
      </c>
      <c r="E26" s="2">
        <v>1</v>
      </c>
      <c r="F26" s="2" t="str">
        <f>_xlfn.XLOOKUP(orders!C26,customers!$A$2:$A$1001,customers!$B$2:$B$1001)</f>
        <v>Chrisy Blofeld</v>
      </c>
      <c r="G26" s="2" t="str">
        <f>IF(_xlfn.XLOOKUP(C26,customers!$A$2:$A$1001,customers!$C$2:$C$1001,,)=0,"",_xlfn.XLOOKUP(C26,customers!$A$2:$A$1001,customers!$C$2:$C$1001,,))</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_xlfn.IFS(I26="Rob","Robusta",I26="Exc","Excelsa",I26="Ara","Arabica",I26="Lib","Liberica")</f>
        <v>Arabica</v>
      </c>
      <c r="O26" t="str" cm="1">
        <f t="array" ref="O26">_xlfn.IFS(J26="M","Medium",J26="L","Light",J26="D","Dark")</f>
        <v>Medium</v>
      </c>
      <c r="P26" t="str">
        <f>_xlfn.XLOOKUP(Orders[[#This Row],[Customer ID]],customers!$A$1:$A$1001,customers!$I$1:$I$1001,,0)</f>
        <v>No</v>
      </c>
    </row>
    <row r="27" spans="1:16" x14ac:dyDescent="0.25">
      <c r="A27" s="2" t="s">
        <v>632</v>
      </c>
      <c r="B27" s="3">
        <v>44128</v>
      </c>
      <c r="C27" s="2" t="s">
        <v>633</v>
      </c>
      <c r="D27" t="s">
        <v>6156</v>
      </c>
      <c r="E27" s="2">
        <v>3</v>
      </c>
      <c r="F27" s="2" t="str">
        <f>_xlfn.XLOOKUP(orders!C27,customers!$A$2:$A$1001,customers!$B$2:$B$1001)</f>
        <v>Culley Farris</v>
      </c>
      <c r="G27" s="2" t="str">
        <f>IF(_xlfn.XLOOKUP(C27,customers!$A$2:$A$1001,customers!$C$2:$C$1001,,)=0,"",_xlfn.XLOOKUP(C27,customers!$A$2:$A$1001,customers!$C$2:$C$1001,,))</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cm="1">
        <f t="array" ref="N27">_xlfn.IFS(I27="Rob","Robusta",I27="Exc","Excelsa",I27="Ara","Arabica",I27="Lib","Liberica")</f>
        <v>Excelsa</v>
      </c>
      <c r="O27" t="str" cm="1">
        <f t="array" ref="O27">_xlfn.IFS(J27="M","Medium",J27="L","Light",J27="D","Dark")</f>
        <v>Medium</v>
      </c>
      <c r="P27" t="str">
        <f>_xlfn.XLOOKUP(Orders[[#This Row],[Customer ID]],customers!$A$1:$A$1001,customers!$I$1:$I$1001,,0)</f>
        <v>Yes</v>
      </c>
    </row>
    <row r="28" spans="1:16" x14ac:dyDescent="0.25">
      <c r="A28" s="2" t="s">
        <v>637</v>
      </c>
      <c r="B28" s="3">
        <v>43516</v>
      </c>
      <c r="C28" s="2" t="s">
        <v>638</v>
      </c>
      <c r="D28" t="s">
        <v>6157</v>
      </c>
      <c r="E28" s="2">
        <v>4</v>
      </c>
      <c r="F28" s="2" t="str">
        <f>_xlfn.XLOOKUP(orders!C28,customers!$A$2:$A$1001,customers!$B$2:$B$1001)</f>
        <v>Selene Shales</v>
      </c>
      <c r="G28" s="2" t="str">
        <f>IF(_xlfn.XLOOKUP(C28,customers!$A$2:$A$1001,customers!$C$2:$C$1001,,)=0,"",_xlfn.XLOOKUP(C28,customers!$A$2:$A$1001,customers!$C$2:$C$1001,,))</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_xlfn.IFS(I28="Rob","Robusta",I28="Exc","Excelsa",I28="Ara","Arabica",I28="Lib","Liberica")</f>
        <v>Arabica</v>
      </c>
      <c r="O28" t="str" cm="1">
        <f t="array" ref="O28">_xlfn.IFS(J28="M","Medium",J28="L","Light",J28="D","Dark")</f>
        <v>Medium</v>
      </c>
      <c r="P28" t="str">
        <f>_xlfn.XLOOKUP(Orders[[#This Row],[Customer ID]],customers!$A$1:$A$1001,customers!$I$1:$I$1001,,0)</f>
        <v>Yes</v>
      </c>
    </row>
    <row r="29" spans="1:16" x14ac:dyDescent="0.25">
      <c r="A29" s="2" t="s">
        <v>643</v>
      </c>
      <c r="B29" s="3">
        <v>43746</v>
      </c>
      <c r="C29" s="2" t="s">
        <v>644</v>
      </c>
      <c r="D29" t="s">
        <v>6152</v>
      </c>
      <c r="E29" s="2">
        <v>5</v>
      </c>
      <c r="F29" s="2" t="str">
        <f>_xlfn.XLOOKUP(orders!C29,customers!$A$2:$A$1001,customers!$B$2:$B$1001)</f>
        <v>Vivie Danneil</v>
      </c>
      <c r="G29" s="2" t="str">
        <f>IF(_xlfn.XLOOKUP(C29,customers!$A$2:$A$1001,customers!$C$2:$C$1001,,)=0,"",_xlfn.XLOOKUP(C29,customers!$A$2:$A$1001,customers!$C$2:$C$1001,,))</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cm="1">
        <f t="array" ref="N29">_xlfn.IFS(I29="Rob","Robusta",I29="Exc","Excelsa",I29="Ara","Arabica",I29="Lib","Liberica")</f>
        <v>Arabica</v>
      </c>
      <c r="O29" t="str" cm="1">
        <f t="array" ref="O29">_xlfn.IFS(J29="M","Medium",J29="L","Light",J29="D","Dark")</f>
        <v>Medium</v>
      </c>
      <c r="P29" t="str">
        <f>_xlfn.XLOOKUP(Orders[[#This Row],[Customer ID]],customers!$A$1:$A$1001,customers!$I$1:$I$1001,,0)</f>
        <v>No</v>
      </c>
    </row>
    <row r="30" spans="1:16" x14ac:dyDescent="0.25">
      <c r="A30" s="2" t="s">
        <v>649</v>
      </c>
      <c r="B30" s="3">
        <v>44775</v>
      </c>
      <c r="C30" s="2" t="s">
        <v>650</v>
      </c>
      <c r="D30" t="s">
        <v>6158</v>
      </c>
      <c r="E30" s="2">
        <v>3</v>
      </c>
      <c r="F30" s="2" t="str">
        <f>_xlfn.XLOOKUP(orders!C30,customers!$A$2:$A$1001,customers!$B$2:$B$1001)</f>
        <v>Theresita Newbury</v>
      </c>
      <c r="G30" s="2" t="str">
        <f>IF(_xlfn.XLOOKUP(C30,customers!$A$2:$A$1001,customers!$C$2:$C$1001,,)=0,"",_xlfn.XLOOKUP(C30,customers!$A$2:$A$1001,customers!$C$2:$C$1001,,))</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_xlfn.IFS(I30="Rob","Robusta",I30="Exc","Excelsa",I30="Ara","Arabica",I30="Lib","Liberica")</f>
        <v>Arabica</v>
      </c>
      <c r="O30" t="str" cm="1">
        <f t="array" ref="O30">_xlfn.IFS(J30="M","Medium",J30="L","Light",J30="D","Dark")</f>
        <v>Dark</v>
      </c>
      <c r="P30" t="str">
        <f>_xlfn.XLOOKUP(Orders[[#This Row],[Customer ID]],customers!$A$1:$A$1001,customers!$I$1:$I$1001,,0)</f>
        <v>No</v>
      </c>
    </row>
    <row r="31" spans="1:16" x14ac:dyDescent="0.25">
      <c r="A31" s="2" t="s">
        <v>655</v>
      </c>
      <c r="B31" s="3">
        <v>43516</v>
      </c>
      <c r="C31" s="2" t="s">
        <v>656</v>
      </c>
      <c r="D31" t="s">
        <v>6147</v>
      </c>
      <c r="E31" s="2">
        <v>4</v>
      </c>
      <c r="F31" s="2" t="str">
        <f>_xlfn.XLOOKUP(orders!C31,customers!$A$2:$A$1001,customers!$B$2:$B$1001)</f>
        <v>Mozelle Calcutt</v>
      </c>
      <c r="G31" s="2" t="str">
        <f>IF(_xlfn.XLOOKUP(C31,customers!$A$2:$A$1001,customers!$C$2:$C$1001,,)=0,"",_xlfn.XLOOKUP(C31,customers!$A$2:$A$1001,customers!$C$2:$C$1001,,))</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_xlfn.IFS(I31="Rob","Robusta",I31="Exc","Excelsa",I31="Ara","Arabica",I31="Lib","Liberica")</f>
        <v>Arabica</v>
      </c>
      <c r="O31" t="str" cm="1">
        <f t="array" ref="O31">_xlfn.IFS(J31="M","Medium",J31="L","Light",J31="D","Dark")</f>
        <v>Dark</v>
      </c>
      <c r="P31" t="str">
        <f>_xlfn.XLOOKUP(Orders[[#This Row],[Customer ID]],customers!$A$1:$A$1001,customers!$I$1:$I$1001,,0)</f>
        <v>Yes</v>
      </c>
    </row>
    <row r="32" spans="1:16" x14ac:dyDescent="0.25">
      <c r="A32" s="2" t="s">
        <v>661</v>
      </c>
      <c r="B32" s="3">
        <v>44464</v>
      </c>
      <c r="C32" s="2" t="s">
        <v>662</v>
      </c>
      <c r="D32" t="s">
        <v>6159</v>
      </c>
      <c r="E32" s="2">
        <v>5</v>
      </c>
      <c r="F32" s="2" t="str">
        <f>_xlfn.XLOOKUP(orders!C32,customers!$A$2:$A$1001,customers!$B$2:$B$1001)</f>
        <v>Adrian Swaine</v>
      </c>
      <c r="G32" s="2" t="str">
        <f>IF(_xlfn.XLOOKUP(C32,customers!$A$2:$A$1001,customers!$C$2:$C$1001,,)=0,"",_xlfn.XLOOKUP(C32,customers!$A$2:$A$1001,customers!$C$2:$C$1001,,))</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cm="1">
        <f t="array" ref="N32">_xlfn.IFS(I32="Rob","Robusta",I32="Exc","Excelsa",I32="Ara","Arabica",I32="Lib","Liberica")</f>
        <v>Liberica</v>
      </c>
      <c r="O32" t="str" cm="1">
        <f t="array" ref="O32">_xlfn.IFS(J32="M","Medium",J32="L","Light",J32="D","Dark")</f>
        <v>Medium</v>
      </c>
      <c r="P32" t="str">
        <f>_xlfn.XLOOKUP(Orders[[#This Row],[Customer ID]],customers!$A$1:$A$1001,customers!$I$1:$I$1001,,0)</f>
        <v>No</v>
      </c>
    </row>
    <row r="33" spans="1:16" x14ac:dyDescent="0.25">
      <c r="A33" s="2" t="s">
        <v>661</v>
      </c>
      <c r="B33" s="3">
        <v>44464</v>
      </c>
      <c r="C33" s="2" t="s">
        <v>662</v>
      </c>
      <c r="D33" t="s">
        <v>6158</v>
      </c>
      <c r="E33" s="2">
        <v>6</v>
      </c>
      <c r="F33" s="2" t="str">
        <f>_xlfn.XLOOKUP(orders!C33,customers!$A$2:$A$1001,customers!$B$2:$B$1001)</f>
        <v>Adrian Swaine</v>
      </c>
      <c r="G33" s="2" t="str">
        <f>IF(_xlfn.XLOOKUP(C33,customers!$A$2:$A$1001,customers!$C$2:$C$1001,,)=0,"",_xlfn.XLOOKUP(C33,customers!$A$2:$A$1001,customers!$C$2:$C$1001,,))</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_xlfn.IFS(I33="Rob","Robusta",I33="Exc","Excelsa",I33="Ara","Arabica",I33="Lib","Liberica")</f>
        <v>Arabica</v>
      </c>
      <c r="O33" t="str" cm="1">
        <f t="array" ref="O33">_xlfn.IFS(J33="M","Medium",J33="L","Light",J33="D","Dark")</f>
        <v>Dark</v>
      </c>
      <c r="P33" t="str">
        <f>_xlfn.XLOOKUP(Orders[[#This Row],[Customer ID]],customers!$A$1:$A$1001,customers!$I$1:$I$1001,,0)</f>
        <v>No</v>
      </c>
    </row>
    <row r="34" spans="1:16" x14ac:dyDescent="0.25">
      <c r="A34" s="2" t="s">
        <v>661</v>
      </c>
      <c r="B34" s="3">
        <v>44464</v>
      </c>
      <c r="C34" s="2" t="s">
        <v>662</v>
      </c>
      <c r="D34" t="s">
        <v>6160</v>
      </c>
      <c r="E34" s="2">
        <v>6</v>
      </c>
      <c r="F34" s="2" t="str">
        <f>_xlfn.XLOOKUP(orders!C34,customers!$A$2:$A$1001,customers!$B$2:$B$1001)</f>
        <v>Adrian Swaine</v>
      </c>
      <c r="G34" s="2" t="str">
        <f>IF(_xlfn.XLOOKUP(C34,customers!$A$2:$A$1001,customers!$C$2:$C$1001,,)=0,"",_xlfn.XLOOKUP(C34,customers!$A$2:$A$1001,customers!$C$2:$C$1001,,))</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_xlfn.IFS(I34="Rob","Robusta",I34="Exc","Excelsa",I34="Ara","Arabica",I34="Lib","Liberica")</f>
        <v>Liberica</v>
      </c>
      <c r="O34" t="str" cm="1">
        <f t="array" ref="O34">_xlfn.IFS(J34="M","Medium",J34="L","Light",J34="D","Dark")</f>
        <v>Medium</v>
      </c>
      <c r="P34" t="str">
        <f>_xlfn.XLOOKUP(Orders[[#This Row],[Customer ID]],customers!$A$1:$A$1001,customers!$I$1:$I$1001,,0)</f>
        <v>No</v>
      </c>
    </row>
    <row r="35" spans="1:16" x14ac:dyDescent="0.25">
      <c r="A35" s="2" t="s">
        <v>676</v>
      </c>
      <c r="B35" s="3">
        <v>44394</v>
      </c>
      <c r="C35" s="2" t="s">
        <v>677</v>
      </c>
      <c r="D35" t="s">
        <v>6145</v>
      </c>
      <c r="E35" s="2">
        <v>5</v>
      </c>
      <c r="F35" s="2" t="str">
        <f>_xlfn.XLOOKUP(orders!C35,customers!$A$2:$A$1001,customers!$B$2:$B$1001)</f>
        <v>Gallard Gatheral</v>
      </c>
      <c r="G35" s="2" t="str">
        <f>IF(_xlfn.XLOOKUP(C35,customers!$A$2:$A$1001,customers!$C$2:$C$1001,,)=0,"",_xlfn.XLOOKUP(C35,customers!$A$2:$A$1001,customers!$C$2:$C$1001,,))</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cm="1">
        <f t="array" ref="N35">_xlfn.IFS(I35="Rob","Robusta",I35="Exc","Excelsa",I35="Ara","Arabica",I35="Lib","Liberica")</f>
        <v>Liberica</v>
      </c>
      <c r="O35" t="str" cm="1">
        <f t="array" ref="O35">_xlfn.IFS(J35="M","Medium",J35="L","Light",J35="D","Dark")</f>
        <v>Light</v>
      </c>
      <c r="P35" t="str">
        <f>_xlfn.XLOOKUP(Orders[[#This Row],[Customer ID]],customers!$A$1:$A$1001,customers!$I$1:$I$1001,,0)</f>
        <v>No</v>
      </c>
    </row>
    <row r="36" spans="1:16" x14ac:dyDescent="0.25">
      <c r="A36" s="2" t="s">
        <v>681</v>
      </c>
      <c r="B36" s="3">
        <v>44011</v>
      </c>
      <c r="C36" s="2" t="s">
        <v>682</v>
      </c>
      <c r="D36" t="s">
        <v>6161</v>
      </c>
      <c r="E36" s="2">
        <v>6</v>
      </c>
      <c r="F36" s="2" t="str">
        <f>_xlfn.XLOOKUP(orders!C36,customers!$A$2:$A$1001,customers!$B$2:$B$1001)</f>
        <v>Una Welberry</v>
      </c>
      <c r="G36" s="2" t="str">
        <f>IF(_xlfn.XLOOKUP(C36,customers!$A$2:$A$1001,customers!$C$2:$C$1001,,)=0,"",_xlfn.XLOOKUP(C36,customers!$A$2:$A$1001,customers!$C$2:$C$1001,,))</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_xlfn.IFS(I36="Rob","Robusta",I36="Exc","Excelsa",I36="Ara","Arabica",I36="Lib","Liberica")</f>
        <v>Liberica</v>
      </c>
      <c r="O36" t="str" cm="1">
        <f t="array" ref="O36">_xlfn.IFS(J36="M","Medium",J36="L","Light",J36="D","Dark")</f>
        <v>Light</v>
      </c>
      <c r="P36" t="str">
        <f>_xlfn.XLOOKUP(Orders[[#This Row],[Customer ID]],customers!$A$1:$A$1001,customers!$I$1:$I$1001,,0)</f>
        <v>Yes</v>
      </c>
    </row>
    <row r="37" spans="1:16" x14ac:dyDescent="0.25">
      <c r="A37" s="2" t="s">
        <v>687</v>
      </c>
      <c r="B37" s="3">
        <v>44348</v>
      </c>
      <c r="C37" s="2" t="s">
        <v>688</v>
      </c>
      <c r="D37" t="s">
        <v>6158</v>
      </c>
      <c r="E37" s="2">
        <v>6</v>
      </c>
      <c r="F37" s="2" t="str">
        <f>_xlfn.XLOOKUP(orders!C37,customers!$A$2:$A$1001,customers!$B$2:$B$1001)</f>
        <v>Faber Eilhart</v>
      </c>
      <c r="G37" s="2" t="str">
        <f>IF(_xlfn.XLOOKUP(C37,customers!$A$2:$A$1001,customers!$C$2:$C$1001,,)=0,"",_xlfn.XLOOKUP(C37,customers!$A$2:$A$1001,customers!$C$2:$C$1001,,))</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_xlfn.IFS(I37="Rob","Robusta",I37="Exc","Excelsa",I37="Ara","Arabica",I37="Lib","Liberica")</f>
        <v>Arabica</v>
      </c>
      <c r="O37" t="str" cm="1">
        <f t="array" ref="O37">_xlfn.IFS(J37="M","Medium",J37="L","Light",J37="D","Dark")</f>
        <v>Dark</v>
      </c>
      <c r="P37" t="str">
        <f>_xlfn.XLOOKUP(Orders[[#This Row],[Customer ID]],customers!$A$1:$A$1001,customers!$I$1:$I$1001,,0)</f>
        <v>No</v>
      </c>
    </row>
    <row r="38" spans="1:16" x14ac:dyDescent="0.25">
      <c r="A38" s="2" t="s">
        <v>693</v>
      </c>
      <c r="B38" s="3">
        <v>44233</v>
      </c>
      <c r="C38" s="2" t="s">
        <v>694</v>
      </c>
      <c r="D38" t="s">
        <v>6159</v>
      </c>
      <c r="E38" s="2">
        <v>2</v>
      </c>
      <c r="F38" s="2" t="str">
        <f>_xlfn.XLOOKUP(orders!C38,customers!$A$2:$A$1001,customers!$B$2:$B$1001)</f>
        <v>Zorina Ponting</v>
      </c>
      <c r="G38" s="2" t="str">
        <f>IF(_xlfn.XLOOKUP(C38,customers!$A$2:$A$1001,customers!$C$2:$C$1001,,)=0,"",_xlfn.XLOOKUP(C38,customers!$A$2:$A$1001,customers!$C$2:$C$1001,,))</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_xlfn.IFS(I38="Rob","Robusta",I38="Exc","Excelsa",I38="Ara","Arabica",I38="Lib","Liberica")</f>
        <v>Liberica</v>
      </c>
      <c r="O38" t="str" cm="1">
        <f t="array" ref="O38">_xlfn.IFS(J38="M","Medium",J38="L","Light",J38="D","Dark")</f>
        <v>Medium</v>
      </c>
      <c r="P38" t="str">
        <f>_xlfn.XLOOKUP(Orders[[#This Row],[Customer ID]],customers!$A$1:$A$1001,customers!$I$1:$I$1001,,0)</f>
        <v>No</v>
      </c>
    </row>
    <row r="39" spans="1:16" x14ac:dyDescent="0.25">
      <c r="A39" s="2" t="s">
        <v>699</v>
      </c>
      <c r="B39" s="3">
        <v>43580</v>
      </c>
      <c r="C39" s="2" t="s">
        <v>700</v>
      </c>
      <c r="D39" t="s">
        <v>6161</v>
      </c>
      <c r="E39" s="2">
        <v>3</v>
      </c>
      <c r="F39" s="2" t="str">
        <f>_xlfn.XLOOKUP(orders!C39,customers!$A$2:$A$1001,customers!$B$2:$B$1001)</f>
        <v>Silvio Strase</v>
      </c>
      <c r="G39" s="2" t="str">
        <f>IF(_xlfn.XLOOKUP(C39,customers!$A$2:$A$1001,customers!$C$2:$C$1001,,)=0,"",_xlfn.XLOOKUP(C39,customers!$A$2:$A$1001,customers!$C$2:$C$1001,,))</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_xlfn.IFS(I39="Rob","Robusta",I39="Exc","Excelsa",I39="Ara","Arabica",I39="Lib","Liberica")</f>
        <v>Liberica</v>
      </c>
      <c r="O39" t="str" cm="1">
        <f t="array" ref="O39">_xlfn.IFS(J39="M","Medium",J39="L","Light",J39="D","Dark")</f>
        <v>Light</v>
      </c>
      <c r="P39" t="str">
        <f>_xlfn.XLOOKUP(Orders[[#This Row],[Customer ID]],customers!$A$1:$A$1001,customers!$I$1:$I$1001,,0)</f>
        <v>No</v>
      </c>
    </row>
    <row r="40" spans="1:16" x14ac:dyDescent="0.25">
      <c r="A40" s="2" t="s">
        <v>705</v>
      </c>
      <c r="B40" s="3">
        <v>43946</v>
      </c>
      <c r="C40" s="2" t="s">
        <v>706</v>
      </c>
      <c r="D40" t="s">
        <v>6151</v>
      </c>
      <c r="E40" s="2">
        <v>5</v>
      </c>
      <c r="F40" s="2" t="str">
        <f>_xlfn.XLOOKUP(orders!C40,customers!$A$2:$A$1001,customers!$B$2:$B$1001)</f>
        <v>Dorie de la Tremoille</v>
      </c>
      <c r="G40" s="2" t="str">
        <f>IF(_xlfn.XLOOKUP(C40,customers!$A$2:$A$1001,customers!$C$2:$C$1001,,)=0,"",_xlfn.XLOOKUP(C40,customers!$A$2:$A$1001,customers!$C$2:$C$1001,,))</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cm="1">
        <f t="array" ref="N40">_xlfn.IFS(I40="Rob","Robusta",I40="Exc","Excelsa",I40="Ara","Arabica",I40="Lib","Liberica")</f>
        <v>Robusta</v>
      </c>
      <c r="O40" t="str" cm="1">
        <f t="array" ref="O40">_xlfn.IFS(J40="M","Medium",J40="L","Light",J40="D","Dark")</f>
        <v>Medium</v>
      </c>
      <c r="P40" t="str">
        <f>_xlfn.XLOOKUP(Orders[[#This Row],[Customer ID]],customers!$A$1:$A$1001,customers!$I$1:$I$1001,,0)</f>
        <v>No</v>
      </c>
    </row>
    <row r="41" spans="1:16" x14ac:dyDescent="0.25">
      <c r="A41" s="2" t="s">
        <v>711</v>
      </c>
      <c r="B41" s="3">
        <v>44524</v>
      </c>
      <c r="C41" s="2" t="s">
        <v>712</v>
      </c>
      <c r="D41" t="s">
        <v>6138</v>
      </c>
      <c r="E41" s="2">
        <v>6</v>
      </c>
      <c r="F41" s="2" t="str">
        <f>_xlfn.XLOOKUP(orders!C41,customers!$A$2:$A$1001,customers!$B$2:$B$1001)</f>
        <v>Hy Zanetto</v>
      </c>
      <c r="G41" s="2" t="str">
        <f>IF(_xlfn.XLOOKUP(C41,customers!$A$2:$A$1001,customers!$C$2:$C$1001,,)=0,"",_xlfn.XLOOKUP(C41,customers!$A$2:$A$1001,customers!$C$2:$C$1001,,))</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cm="1">
        <f t="array" ref="N41">_xlfn.IFS(I41="Rob","Robusta",I41="Exc","Excelsa",I41="Ara","Arabica",I41="Lib","Liberica")</f>
        <v>Robusta</v>
      </c>
      <c r="O41" t="str" cm="1">
        <f t="array" ref="O41">_xlfn.IFS(J41="M","Medium",J41="L","Light",J41="D","Dark")</f>
        <v>Medium</v>
      </c>
      <c r="P41" t="str">
        <f>_xlfn.XLOOKUP(Orders[[#This Row],[Customer ID]],customers!$A$1:$A$1001,customers!$I$1:$I$1001,,0)</f>
        <v>Yes</v>
      </c>
    </row>
    <row r="42" spans="1:16" x14ac:dyDescent="0.25">
      <c r="A42" s="2" t="s">
        <v>715</v>
      </c>
      <c r="B42" s="3">
        <v>44305</v>
      </c>
      <c r="C42" s="2" t="s">
        <v>716</v>
      </c>
      <c r="D42" t="s">
        <v>6162</v>
      </c>
      <c r="E42" s="2">
        <v>3</v>
      </c>
      <c r="F42" s="2" t="str">
        <f>_xlfn.XLOOKUP(orders!C42,customers!$A$2:$A$1001,customers!$B$2:$B$1001)</f>
        <v>Jessica McNess</v>
      </c>
      <c r="G42" s="2" t="str">
        <f>IF(_xlfn.XLOOKUP(C42,customers!$A$2:$A$1001,customers!$C$2:$C$1001,,)=0,"",_xlfn.XLOOKUP(C42,customers!$A$2:$A$1001,customers!$C$2:$C$1001,,))</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cm="1">
        <f t="array" ref="N42">_xlfn.IFS(I42="Rob","Robusta",I42="Exc","Excelsa",I42="Ara","Arabica",I42="Lib","Liberica")</f>
        <v>Liberica</v>
      </c>
      <c r="O42" t="str" cm="1">
        <f t="array" ref="O42">_xlfn.IFS(J42="M","Medium",J42="L","Light",J42="D","Dark")</f>
        <v>Medium</v>
      </c>
      <c r="P42" t="str">
        <f>_xlfn.XLOOKUP(Orders[[#This Row],[Customer ID]],customers!$A$1:$A$1001,customers!$I$1:$I$1001,,0)</f>
        <v>No</v>
      </c>
    </row>
    <row r="43" spans="1:16" x14ac:dyDescent="0.25">
      <c r="A43" s="2" t="s">
        <v>720</v>
      </c>
      <c r="B43" s="3">
        <v>44749</v>
      </c>
      <c r="C43" s="2" t="s">
        <v>721</v>
      </c>
      <c r="D43" t="s">
        <v>6153</v>
      </c>
      <c r="E43" s="2">
        <v>2</v>
      </c>
      <c r="F43" s="2" t="str">
        <f>_xlfn.XLOOKUP(orders!C43,customers!$A$2:$A$1001,customers!$B$2:$B$1001)</f>
        <v>Lorenzo Yeoland</v>
      </c>
      <c r="G43" s="2" t="str">
        <f>IF(_xlfn.XLOOKUP(C43,customers!$A$2:$A$1001,customers!$C$2:$C$1001,,)=0,"",_xlfn.XLOOKUP(C43,customers!$A$2:$A$1001,customers!$C$2:$C$1001,,))</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_xlfn.IFS(I43="Rob","Robusta",I43="Exc","Excelsa",I43="Ara","Arabica",I43="Lib","Liberica")</f>
        <v>Excelsa</v>
      </c>
      <c r="O43" t="str" cm="1">
        <f t="array" ref="O43">_xlfn.IFS(J43="M","Medium",J43="L","Light",J43="D","Dark")</f>
        <v>Dark</v>
      </c>
      <c r="P43" t="str">
        <f>_xlfn.XLOOKUP(Orders[[#This Row],[Customer ID]],customers!$A$1:$A$1001,customers!$I$1:$I$1001,,0)</f>
        <v>Yes</v>
      </c>
    </row>
    <row r="44" spans="1:16" x14ac:dyDescent="0.25">
      <c r="A44" s="2" t="s">
        <v>726</v>
      </c>
      <c r="B44" s="3">
        <v>43607</v>
      </c>
      <c r="C44" s="2" t="s">
        <v>727</v>
      </c>
      <c r="D44" t="s">
        <v>6163</v>
      </c>
      <c r="E44" s="2">
        <v>3</v>
      </c>
      <c r="F44" s="2" t="str">
        <f>_xlfn.XLOOKUP(orders!C44,customers!$A$2:$A$1001,customers!$B$2:$B$1001)</f>
        <v>Abigail Tolworthy</v>
      </c>
      <c r="G44" s="2" t="str">
        <f>IF(_xlfn.XLOOKUP(C44,customers!$A$2:$A$1001,customers!$C$2:$C$1001,,)=0,"",_xlfn.XLOOKUP(C44,customers!$A$2:$A$1001,customers!$C$2:$C$1001,,))</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cm="1">
        <f t="array" ref="N44">_xlfn.IFS(I44="Rob","Robusta",I44="Exc","Excelsa",I44="Ara","Arabica",I44="Lib","Liberica")</f>
        <v>Robusta</v>
      </c>
      <c r="O44" t="str" cm="1">
        <f t="array" ref="O44">_xlfn.IFS(J44="M","Medium",J44="L","Light",J44="D","Dark")</f>
        <v>Dark</v>
      </c>
      <c r="P44" t="str">
        <f>_xlfn.XLOOKUP(Orders[[#This Row],[Customer ID]],customers!$A$1:$A$1001,customers!$I$1:$I$1001,,0)</f>
        <v>Yes</v>
      </c>
    </row>
    <row r="45" spans="1:16" x14ac:dyDescent="0.25">
      <c r="A45" s="2" t="s">
        <v>733</v>
      </c>
      <c r="B45" s="3">
        <v>44473</v>
      </c>
      <c r="C45" s="2" t="s">
        <v>734</v>
      </c>
      <c r="D45" t="s">
        <v>6164</v>
      </c>
      <c r="E45" s="2">
        <v>2</v>
      </c>
      <c r="F45" s="2" t="str">
        <f>_xlfn.XLOOKUP(orders!C45,customers!$A$2:$A$1001,customers!$B$2:$B$1001)</f>
        <v>Maurie Bartol</v>
      </c>
      <c r="G45" s="2" t="str">
        <f>IF(_xlfn.XLOOKUP(C45,customers!$A$2:$A$1001,customers!$C$2:$C$1001,,)=0,"",_xlfn.XLOOKUP(C45,customers!$A$2:$A$1001,customers!$C$2:$C$1001,,))</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_xlfn.IFS(I45="Rob","Robusta",I45="Exc","Excelsa",I45="Ara","Arabica",I45="Lib","Liberica")</f>
        <v>Liberica</v>
      </c>
      <c r="O45" t="str" cm="1">
        <f t="array" ref="O45">_xlfn.IFS(J45="M","Medium",J45="L","Light",J45="D","Dark")</f>
        <v>Light</v>
      </c>
      <c r="P45" t="str">
        <f>_xlfn.XLOOKUP(Orders[[#This Row],[Customer ID]],customers!$A$1:$A$1001,customers!$I$1:$I$1001,,0)</f>
        <v>No</v>
      </c>
    </row>
    <row r="46" spans="1:16" x14ac:dyDescent="0.25">
      <c r="A46" s="2" t="s">
        <v>738</v>
      </c>
      <c r="B46" s="3">
        <v>43932</v>
      </c>
      <c r="C46" s="2" t="s">
        <v>739</v>
      </c>
      <c r="D46" t="s">
        <v>6139</v>
      </c>
      <c r="E46" s="2">
        <v>2</v>
      </c>
      <c r="F46" s="2" t="str">
        <f>_xlfn.XLOOKUP(orders!C46,customers!$A$2:$A$1001,customers!$B$2:$B$1001)</f>
        <v>Olag Baudassi</v>
      </c>
      <c r="G46" s="2" t="str">
        <f>IF(_xlfn.XLOOKUP(C46,customers!$A$2:$A$1001,customers!$C$2:$C$1001,,)=0,"",_xlfn.XLOOKUP(C46,customers!$A$2:$A$1001,customers!$C$2:$C$1001,,))</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_xlfn.IFS(I46="Rob","Robusta",I46="Exc","Excelsa",I46="Ara","Arabica",I46="Lib","Liberica")</f>
        <v>Excelsa</v>
      </c>
      <c r="O46" t="str" cm="1">
        <f t="array" ref="O46">_xlfn.IFS(J46="M","Medium",J46="L","Light",J46="D","Dark")</f>
        <v>Medium</v>
      </c>
      <c r="P46" t="str">
        <f>_xlfn.XLOOKUP(Orders[[#This Row],[Customer ID]],customers!$A$1:$A$1001,customers!$I$1:$I$1001,,0)</f>
        <v>Yes</v>
      </c>
    </row>
    <row r="47" spans="1:16" x14ac:dyDescent="0.25">
      <c r="A47" s="2" t="s">
        <v>744</v>
      </c>
      <c r="B47" s="3">
        <v>44592</v>
      </c>
      <c r="C47" s="2" t="s">
        <v>745</v>
      </c>
      <c r="D47" t="s">
        <v>6165</v>
      </c>
      <c r="E47" s="2">
        <v>6</v>
      </c>
      <c r="F47" s="2" t="str">
        <f>_xlfn.XLOOKUP(orders!C47,customers!$A$2:$A$1001,customers!$B$2:$B$1001)</f>
        <v>Petey Kingsbury</v>
      </c>
      <c r="G47" s="2" t="str">
        <f>IF(_xlfn.XLOOKUP(C47,customers!$A$2:$A$1001,customers!$C$2:$C$1001,,)=0,"",_xlfn.XLOOKUP(C47,customers!$A$2:$A$1001,customers!$C$2:$C$1001,,))</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cm="1">
        <f t="array" ref="N47">_xlfn.IFS(I47="Rob","Robusta",I47="Exc","Excelsa",I47="Ara","Arabica",I47="Lib","Liberica")</f>
        <v>Liberica</v>
      </c>
      <c r="O47" t="str" cm="1">
        <f t="array" ref="O47">_xlfn.IFS(J47="M","Medium",J47="L","Light",J47="D","Dark")</f>
        <v>Dark</v>
      </c>
      <c r="P47" t="str">
        <f>_xlfn.XLOOKUP(Orders[[#This Row],[Customer ID]],customers!$A$1:$A$1001,customers!$I$1:$I$1001,,0)</f>
        <v>No</v>
      </c>
    </row>
    <row r="48" spans="1:16" x14ac:dyDescent="0.25">
      <c r="A48" s="2" t="s">
        <v>750</v>
      </c>
      <c r="B48" s="3">
        <v>43776</v>
      </c>
      <c r="C48" s="2" t="s">
        <v>751</v>
      </c>
      <c r="D48" t="s">
        <v>6166</v>
      </c>
      <c r="E48" s="2">
        <v>2</v>
      </c>
      <c r="F48" s="2" t="str">
        <f>_xlfn.XLOOKUP(orders!C48,customers!$A$2:$A$1001,customers!$B$2:$B$1001)</f>
        <v>Donna Baskeyfied</v>
      </c>
      <c r="G48" s="2" t="str">
        <f>IF(_xlfn.XLOOKUP(C48,customers!$A$2:$A$1001,customers!$C$2:$C$1001,,)=0,"",_xlfn.XLOOKUP(C48,customers!$A$2:$A$1001,customers!$C$2:$C$1001,,))</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cm="1">
        <f t="array" ref="N48">_xlfn.IFS(I48="Rob","Robusta",I48="Exc","Excelsa",I48="Ara","Arabica",I48="Lib","Liberica")</f>
        <v>Excelsa</v>
      </c>
      <c r="O48" t="str" cm="1">
        <f t="array" ref="O48">_xlfn.IFS(J48="M","Medium",J48="L","Light",J48="D","Dark")</f>
        <v>Medium</v>
      </c>
      <c r="P48" t="str">
        <f>_xlfn.XLOOKUP(Orders[[#This Row],[Customer ID]],customers!$A$1:$A$1001,customers!$I$1:$I$1001,,0)</f>
        <v>Yes</v>
      </c>
    </row>
    <row r="49" spans="1:16" x14ac:dyDescent="0.25">
      <c r="A49" s="2" t="s">
        <v>755</v>
      </c>
      <c r="B49" s="3">
        <v>43644</v>
      </c>
      <c r="C49" s="2" t="s">
        <v>756</v>
      </c>
      <c r="D49" t="s">
        <v>6167</v>
      </c>
      <c r="E49" s="2">
        <v>2</v>
      </c>
      <c r="F49" s="2" t="str">
        <f>_xlfn.XLOOKUP(orders!C49,customers!$A$2:$A$1001,customers!$B$2:$B$1001)</f>
        <v>Arda Curley</v>
      </c>
      <c r="G49" s="2" t="str">
        <f>IF(_xlfn.XLOOKUP(C49,customers!$A$2:$A$1001,customers!$C$2:$C$1001,,)=0,"",_xlfn.XLOOKUP(C49,customers!$A$2:$A$1001,customers!$C$2:$C$1001,,))</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_xlfn.IFS(I49="Rob","Robusta",I49="Exc","Excelsa",I49="Ara","Arabica",I49="Lib","Liberica")</f>
        <v>Arabica</v>
      </c>
      <c r="O49" t="str" cm="1">
        <f t="array" ref="O49">_xlfn.IFS(J49="M","Medium",J49="L","Light",J49="D","Dark")</f>
        <v>Light</v>
      </c>
      <c r="P49" t="str">
        <f>_xlfn.XLOOKUP(Orders[[#This Row],[Customer ID]],customers!$A$1:$A$1001,customers!$I$1:$I$1001,,0)</f>
        <v>Yes</v>
      </c>
    </row>
    <row r="50" spans="1:16" x14ac:dyDescent="0.25">
      <c r="A50" s="2" t="s">
        <v>761</v>
      </c>
      <c r="B50" s="3">
        <v>44085</v>
      </c>
      <c r="C50" s="2" t="s">
        <v>762</v>
      </c>
      <c r="D50" t="s">
        <v>6168</v>
      </c>
      <c r="E50" s="2">
        <v>4</v>
      </c>
      <c r="F50" s="2" t="str">
        <f>_xlfn.XLOOKUP(orders!C50,customers!$A$2:$A$1001,customers!$B$2:$B$1001)</f>
        <v>Raynor McGilvary</v>
      </c>
      <c r="G50" s="2" t="str">
        <f>IF(_xlfn.XLOOKUP(C50,customers!$A$2:$A$1001,customers!$C$2:$C$1001,,)=0,"",_xlfn.XLOOKUP(C50,customers!$A$2:$A$1001,customers!$C$2:$C$1001,,))</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cm="1">
        <f t="array" ref="N50">_xlfn.IFS(I50="Rob","Robusta",I50="Exc","Excelsa",I50="Ara","Arabica",I50="Lib","Liberica")</f>
        <v>Arabica</v>
      </c>
      <c r="O50" t="str" cm="1">
        <f t="array" ref="O50">_xlfn.IFS(J50="M","Medium",J50="L","Light",J50="D","Dark")</f>
        <v>Dark</v>
      </c>
      <c r="P50" t="str">
        <f>_xlfn.XLOOKUP(Orders[[#This Row],[Customer ID]],customers!$A$1:$A$1001,customers!$I$1:$I$1001,,0)</f>
        <v>No</v>
      </c>
    </row>
    <row r="51" spans="1:16" x14ac:dyDescent="0.25">
      <c r="A51" s="2" t="s">
        <v>766</v>
      </c>
      <c r="B51" s="3">
        <v>44790</v>
      </c>
      <c r="C51" s="2" t="s">
        <v>767</v>
      </c>
      <c r="D51" t="s">
        <v>6140</v>
      </c>
      <c r="E51" s="2">
        <v>3</v>
      </c>
      <c r="F51" s="2" t="str">
        <f>_xlfn.XLOOKUP(orders!C51,customers!$A$2:$A$1001,customers!$B$2:$B$1001)</f>
        <v>Isis Pikett</v>
      </c>
      <c r="G51" s="2" t="str">
        <f>IF(_xlfn.XLOOKUP(C51,customers!$A$2:$A$1001,customers!$C$2:$C$1001,,)=0,"",_xlfn.XLOOKUP(C51,customers!$A$2:$A$1001,customers!$C$2:$C$1001,,))</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cm="1">
        <f t="array" ref="N51">_xlfn.IFS(I51="Rob","Robusta",I51="Exc","Excelsa",I51="Ara","Arabica",I51="Lib","Liberica")</f>
        <v>Arabica</v>
      </c>
      <c r="O51" t="str" cm="1">
        <f t="array" ref="O51">_xlfn.IFS(J51="M","Medium",J51="L","Light",J51="D","Dark")</f>
        <v>Light</v>
      </c>
      <c r="P51" t="str">
        <f>_xlfn.XLOOKUP(Orders[[#This Row],[Customer ID]],customers!$A$1:$A$1001,customers!$I$1:$I$1001,,0)</f>
        <v>No</v>
      </c>
    </row>
    <row r="52" spans="1:16" x14ac:dyDescent="0.25">
      <c r="A52" s="2" t="s">
        <v>772</v>
      </c>
      <c r="B52" s="3">
        <v>44792</v>
      </c>
      <c r="C52" s="2" t="s">
        <v>773</v>
      </c>
      <c r="D52" t="s">
        <v>6169</v>
      </c>
      <c r="E52" s="2">
        <v>2</v>
      </c>
      <c r="F52" s="2" t="str">
        <f>_xlfn.XLOOKUP(orders!C52,customers!$A$2:$A$1001,customers!$B$2:$B$1001)</f>
        <v>Inger Bouldon</v>
      </c>
      <c r="G52" s="2" t="str">
        <f>IF(_xlfn.XLOOKUP(C52,customers!$A$2:$A$1001,customers!$C$2:$C$1001,,)=0,"",_xlfn.XLOOKUP(C52,customers!$A$2:$A$1001,customers!$C$2:$C$1001,,))</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_xlfn.IFS(I52="Rob","Robusta",I52="Exc","Excelsa",I52="Ara","Arabica",I52="Lib","Liberica")</f>
        <v>Liberica</v>
      </c>
      <c r="O52" t="str" cm="1">
        <f t="array" ref="O52">_xlfn.IFS(J52="M","Medium",J52="L","Light",J52="D","Dark")</f>
        <v>Dark</v>
      </c>
      <c r="P52" t="str">
        <f>_xlfn.XLOOKUP(Orders[[#This Row],[Customer ID]],customers!$A$1:$A$1001,customers!$I$1:$I$1001,,0)</f>
        <v>No</v>
      </c>
    </row>
    <row r="53" spans="1:16" x14ac:dyDescent="0.25">
      <c r="A53" s="2" t="s">
        <v>778</v>
      </c>
      <c r="B53" s="3">
        <v>43600</v>
      </c>
      <c r="C53" s="2" t="s">
        <v>779</v>
      </c>
      <c r="D53" t="s">
        <v>6164</v>
      </c>
      <c r="E53" s="2">
        <v>4</v>
      </c>
      <c r="F53" s="2" t="str">
        <f>_xlfn.XLOOKUP(orders!C53,customers!$A$2:$A$1001,customers!$B$2:$B$1001)</f>
        <v>Karry Flanders</v>
      </c>
      <c r="G53" s="2" t="str">
        <f>IF(_xlfn.XLOOKUP(C53,customers!$A$2:$A$1001,customers!$C$2:$C$1001,,)=0,"",_xlfn.XLOOKUP(C53,customers!$A$2:$A$1001,customers!$C$2:$C$1001,,))</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_xlfn.IFS(I53="Rob","Robusta",I53="Exc","Excelsa",I53="Ara","Arabica",I53="Lib","Liberica")</f>
        <v>Liberica</v>
      </c>
      <c r="O53" t="str" cm="1">
        <f t="array" ref="O53">_xlfn.IFS(J53="M","Medium",J53="L","Light",J53="D","Dark")</f>
        <v>Light</v>
      </c>
      <c r="P53" t="str">
        <f>_xlfn.XLOOKUP(Orders[[#This Row],[Customer ID]],customers!$A$1:$A$1001,customers!$I$1:$I$1001,,0)</f>
        <v>Yes</v>
      </c>
    </row>
    <row r="54" spans="1:16" x14ac:dyDescent="0.25">
      <c r="A54" s="2" t="s">
        <v>784</v>
      </c>
      <c r="B54" s="3">
        <v>43719</v>
      </c>
      <c r="C54" s="2" t="s">
        <v>785</v>
      </c>
      <c r="D54" t="s">
        <v>6146</v>
      </c>
      <c r="E54" s="2">
        <v>5</v>
      </c>
      <c r="F54" s="2" t="str">
        <f>_xlfn.XLOOKUP(orders!C54,customers!$A$2:$A$1001,customers!$B$2:$B$1001)</f>
        <v>Hartley Mattioli</v>
      </c>
      <c r="G54" s="2" t="str">
        <f>IF(_xlfn.XLOOKUP(C54,customers!$A$2:$A$1001,customers!$C$2:$C$1001,,)=0,"",_xlfn.XLOOKUP(C54,customers!$A$2:$A$1001,customers!$C$2:$C$1001,,))</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cm="1">
        <f t="array" ref="N54">_xlfn.IFS(I54="Rob","Robusta",I54="Exc","Excelsa",I54="Ara","Arabica",I54="Lib","Liberica")</f>
        <v>Robusta</v>
      </c>
      <c r="O54" t="str" cm="1">
        <f t="array" ref="O54">_xlfn.IFS(J54="M","Medium",J54="L","Light",J54="D","Dark")</f>
        <v>Medium</v>
      </c>
      <c r="P54" t="str">
        <f>_xlfn.XLOOKUP(Orders[[#This Row],[Customer ID]],customers!$A$1:$A$1001,customers!$I$1:$I$1001,,0)</f>
        <v>No</v>
      </c>
    </row>
    <row r="55" spans="1:16" x14ac:dyDescent="0.25">
      <c r="A55" s="2" t="s">
        <v>784</v>
      </c>
      <c r="B55" s="3">
        <v>43719</v>
      </c>
      <c r="C55" s="2" t="s">
        <v>785</v>
      </c>
      <c r="D55" t="s">
        <v>6164</v>
      </c>
      <c r="E55" s="2">
        <v>2</v>
      </c>
      <c r="F55" s="2" t="str">
        <f>_xlfn.XLOOKUP(orders!C55,customers!$A$2:$A$1001,customers!$B$2:$B$1001)</f>
        <v>Hartley Mattioli</v>
      </c>
      <c r="G55" s="2" t="str">
        <f>IF(_xlfn.XLOOKUP(C55,customers!$A$2:$A$1001,customers!$C$2:$C$1001,,)=0,"",_xlfn.XLOOKUP(C55,customers!$A$2:$A$1001,customers!$C$2:$C$1001,,))</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_xlfn.IFS(I55="Rob","Robusta",I55="Exc","Excelsa",I55="Ara","Arabica",I55="Lib","Liberica")</f>
        <v>Liberica</v>
      </c>
      <c r="O55" t="str" cm="1">
        <f t="array" ref="O55">_xlfn.IFS(J55="M","Medium",J55="L","Light",J55="D","Dark")</f>
        <v>Light</v>
      </c>
      <c r="P55" t="str">
        <f>_xlfn.XLOOKUP(Orders[[#This Row],[Customer ID]],customers!$A$1:$A$1001,customers!$I$1:$I$1001,,0)</f>
        <v>No</v>
      </c>
    </row>
    <row r="56" spans="1:16" x14ac:dyDescent="0.25">
      <c r="A56" s="2" t="s">
        <v>794</v>
      </c>
      <c r="B56" s="3">
        <v>44271</v>
      </c>
      <c r="C56" s="2" t="s">
        <v>795</v>
      </c>
      <c r="D56" t="s">
        <v>6162</v>
      </c>
      <c r="E56" s="2">
        <v>5</v>
      </c>
      <c r="F56" s="2" t="str">
        <f>_xlfn.XLOOKUP(orders!C56,customers!$A$2:$A$1001,customers!$B$2:$B$1001)</f>
        <v>Archambault Gillard</v>
      </c>
      <c r="G56" s="2" t="str">
        <f>IF(_xlfn.XLOOKUP(C56,customers!$A$2:$A$1001,customers!$C$2:$C$1001,,)=0,"",_xlfn.XLOOKUP(C56,customers!$A$2:$A$1001,customers!$C$2:$C$1001,,))</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_xlfn.IFS(I56="Rob","Robusta",I56="Exc","Excelsa",I56="Ara","Arabica",I56="Lib","Liberica")</f>
        <v>Liberica</v>
      </c>
      <c r="O56" t="str" cm="1">
        <f t="array" ref="O56">_xlfn.IFS(J56="M","Medium",J56="L","Light",J56="D","Dark")</f>
        <v>Medium</v>
      </c>
      <c r="P56" t="str">
        <f>_xlfn.XLOOKUP(Orders[[#This Row],[Customer ID]],customers!$A$1:$A$1001,customers!$I$1:$I$1001,,0)</f>
        <v>No</v>
      </c>
    </row>
    <row r="57" spans="1:16" x14ac:dyDescent="0.25">
      <c r="A57" s="2" t="s">
        <v>800</v>
      </c>
      <c r="B57" s="3">
        <v>44168</v>
      </c>
      <c r="C57" s="2" t="s">
        <v>801</v>
      </c>
      <c r="D57" t="s">
        <v>6170</v>
      </c>
      <c r="E57" s="2">
        <v>3</v>
      </c>
      <c r="F57" s="2" t="str">
        <f>_xlfn.XLOOKUP(orders!C57,customers!$A$2:$A$1001,customers!$B$2:$B$1001)</f>
        <v>Salomo Cushworth</v>
      </c>
      <c r="G57" s="2" t="str">
        <f>IF(_xlfn.XLOOKUP(C57,customers!$A$2:$A$1001,customers!$C$2:$C$1001,,)=0,"",_xlfn.XLOOKUP(C57,customers!$A$2:$A$1001,customers!$C$2:$C$1001,,))</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_xlfn.IFS(I57="Rob","Robusta",I57="Exc","Excelsa",I57="Ara","Arabica",I57="Lib","Liberica")</f>
        <v>Liberica</v>
      </c>
      <c r="O57" t="str" cm="1">
        <f t="array" ref="O57">_xlfn.IFS(J57="M","Medium",J57="L","Light",J57="D","Dark")</f>
        <v>Light</v>
      </c>
      <c r="P57" t="str">
        <f>_xlfn.XLOOKUP(Orders[[#This Row],[Customer ID]],customers!$A$1:$A$1001,customers!$I$1:$I$1001,,0)</f>
        <v>No</v>
      </c>
    </row>
    <row r="58" spans="1:16" x14ac:dyDescent="0.25">
      <c r="A58" s="2" t="s">
        <v>805</v>
      </c>
      <c r="B58" s="3">
        <v>43857</v>
      </c>
      <c r="C58" s="2" t="s">
        <v>806</v>
      </c>
      <c r="D58" t="s">
        <v>6153</v>
      </c>
      <c r="E58" s="2">
        <v>3</v>
      </c>
      <c r="F58" s="2" t="str">
        <f>_xlfn.XLOOKUP(orders!C58,customers!$A$2:$A$1001,customers!$B$2:$B$1001)</f>
        <v>Theda Grizard</v>
      </c>
      <c r="G58" s="2" t="str">
        <f>IF(_xlfn.XLOOKUP(C58,customers!$A$2:$A$1001,customers!$C$2:$C$1001,,)=0,"",_xlfn.XLOOKUP(C58,customers!$A$2:$A$1001,customers!$C$2:$C$1001,,))</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cm="1">
        <f t="array" ref="N58">_xlfn.IFS(I58="Rob","Robusta",I58="Exc","Excelsa",I58="Ara","Arabica",I58="Lib","Liberica")</f>
        <v>Excelsa</v>
      </c>
      <c r="O58" t="str" cm="1">
        <f t="array" ref="O58">_xlfn.IFS(J58="M","Medium",J58="L","Light",J58="D","Dark")</f>
        <v>Dark</v>
      </c>
      <c r="P58" t="str">
        <f>_xlfn.XLOOKUP(Orders[[#This Row],[Customer ID]],customers!$A$1:$A$1001,customers!$I$1:$I$1001,,0)</f>
        <v>Yes</v>
      </c>
    </row>
    <row r="59" spans="1:16" x14ac:dyDescent="0.25">
      <c r="A59" s="2" t="s">
        <v>811</v>
      </c>
      <c r="B59" s="3">
        <v>44759</v>
      </c>
      <c r="C59" s="2" t="s">
        <v>812</v>
      </c>
      <c r="D59" t="s">
        <v>6171</v>
      </c>
      <c r="E59" s="2">
        <v>4</v>
      </c>
      <c r="F59" s="2" t="str">
        <f>_xlfn.XLOOKUP(orders!C59,customers!$A$2:$A$1001,customers!$B$2:$B$1001)</f>
        <v>Rozele Relton</v>
      </c>
      <c r="G59" s="2" t="str">
        <f>IF(_xlfn.XLOOKUP(C59,customers!$A$2:$A$1001,customers!$C$2:$C$1001,,)=0,"",_xlfn.XLOOKUP(C59,customers!$A$2:$A$1001,customers!$C$2:$C$1001,,))</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_xlfn.IFS(I59="Rob","Robusta",I59="Exc","Excelsa",I59="Ara","Arabica",I59="Lib","Liberica")</f>
        <v>Excelsa</v>
      </c>
      <c r="O59" t="str" cm="1">
        <f t="array" ref="O59">_xlfn.IFS(J59="M","Medium",J59="L","Light",J59="D","Dark")</f>
        <v>Light</v>
      </c>
      <c r="P59" t="str">
        <f>_xlfn.XLOOKUP(Orders[[#This Row],[Customer ID]],customers!$A$1:$A$1001,customers!$I$1:$I$1001,,0)</f>
        <v>No</v>
      </c>
    </row>
    <row r="60" spans="1:16" x14ac:dyDescent="0.25">
      <c r="A60" s="2" t="s">
        <v>817</v>
      </c>
      <c r="B60" s="3">
        <v>44624</v>
      </c>
      <c r="C60" s="2" t="s">
        <v>818</v>
      </c>
      <c r="D60" t="s">
        <v>6165</v>
      </c>
      <c r="E60" s="2">
        <v>3</v>
      </c>
      <c r="F60" s="2" t="str">
        <f>_xlfn.XLOOKUP(orders!C60,customers!$A$2:$A$1001,customers!$B$2:$B$1001)</f>
        <v>Willa Rolling</v>
      </c>
      <c r="G60" s="2" t="str">
        <f>IF(_xlfn.XLOOKUP(C60,customers!$A$2:$A$1001,customers!$C$2:$C$1001,,)=0,"",_xlfn.XLOOKUP(C60,customers!$A$2:$A$1001,customers!$C$2:$C$1001,,))</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cm="1">
        <f t="array" ref="N60">_xlfn.IFS(I60="Rob","Robusta",I60="Exc","Excelsa",I60="Ara","Arabica",I60="Lib","Liberica")</f>
        <v>Liberica</v>
      </c>
      <c r="O60" t="str" cm="1">
        <f t="array" ref="O60">_xlfn.IFS(J60="M","Medium",J60="L","Light",J60="D","Dark")</f>
        <v>Dark</v>
      </c>
      <c r="P60" t="str">
        <f>_xlfn.XLOOKUP(Orders[[#This Row],[Customer ID]],customers!$A$1:$A$1001,customers!$I$1:$I$1001,,0)</f>
        <v>Yes</v>
      </c>
    </row>
    <row r="61" spans="1:16" x14ac:dyDescent="0.25">
      <c r="A61" s="2" t="s">
        <v>822</v>
      </c>
      <c r="B61" s="3">
        <v>44537</v>
      </c>
      <c r="C61" s="2" t="s">
        <v>823</v>
      </c>
      <c r="D61" t="s">
        <v>6160</v>
      </c>
      <c r="E61" s="2">
        <v>3</v>
      </c>
      <c r="F61" s="2" t="str">
        <f>_xlfn.XLOOKUP(orders!C61,customers!$A$2:$A$1001,customers!$B$2:$B$1001)</f>
        <v>Stanislaus Gilroy</v>
      </c>
      <c r="G61" s="2" t="str">
        <f>IF(_xlfn.XLOOKUP(C61,customers!$A$2:$A$1001,customers!$C$2:$C$1001,,)=0,"",_xlfn.XLOOKUP(C61,customers!$A$2:$A$1001,customers!$C$2:$C$1001,,))</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_xlfn.IFS(I61="Rob","Robusta",I61="Exc","Excelsa",I61="Ara","Arabica",I61="Lib","Liberica")</f>
        <v>Liberica</v>
      </c>
      <c r="O61" t="str" cm="1">
        <f t="array" ref="O61">_xlfn.IFS(J61="M","Medium",J61="L","Light",J61="D","Dark")</f>
        <v>Medium</v>
      </c>
      <c r="P61" t="str">
        <f>_xlfn.XLOOKUP(Orders[[#This Row],[Customer ID]],customers!$A$1:$A$1001,customers!$I$1:$I$1001,,0)</f>
        <v>Yes</v>
      </c>
    </row>
    <row r="62" spans="1:16" x14ac:dyDescent="0.25">
      <c r="A62" s="2" t="s">
        <v>827</v>
      </c>
      <c r="B62" s="3">
        <v>44252</v>
      </c>
      <c r="C62" s="2" t="s">
        <v>828</v>
      </c>
      <c r="D62" t="s">
        <v>6168</v>
      </c>
      <c r="E62" s="2">
        <v>5</v>
      </c>
      <c r="F62" s="2" t="str">
        <f>_xlfn.XLOOKUP(orders!C62,customers!$A$2:$A$1001,customers!$B$2:$B$1001)</f>
        <v>Correy Cottingham</v>
      </c>
      <c r="G62" s="2" t="str">
        <f>IF(_xlfn.XLOOKUP(C62,customers!$A$2:$A$1001,customers!$C$2:$C$1001,,)=0,"",_xlfn.XLOOKUP(C62,customers!$A$2:$A$1001,customers!$C$2:$C$1001,,))</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cm="1">
        <f t="array" ref="N62">_xlfn.IFS(I62="Rob","Robusta",I62="Exc","Excelsa",I62="Ara","Arabica",I62="Lib","Liberica")</f>
        <v>Arabica</v>
      </c>
      <c r="O62" t="str" cm="1">
        <f t="array" ref="O62">_xlfn.IFS(J62="M","Medium",J62="L","Light",J62="D","Dark")</f>
        <v>Dark</v>
      </c>
      <c r="P62" t="str">
        <f>_xlfn.XLOOKUP(Orders[[#This Row],[Customer ID]],customers!$A$1:$A$1001,customers!$I$1:$I$1001,,0)</f>
        <v>No</v>
      </c>
    </row>
    <row r="63" spans="1:16" x14ac:dyDescent="0.25">
      <c r="A63" s="2" t="s">
        <v>833</v>
      </c>
      <c r="B63" s="3">
        <v>43521</v>
      </c>
      <c r="C63" s="2" t="s">
        <v>834</v>
      </c>
      <c r="D63" t="s">
        <v>6172</v>
      </c>
      <c r="E63" s="2">
        <v>5</v>
      </c>
      <c r="F63" s="2" t="str">
        <f>_xlfn.XLOOKUP(orders!C63,customers!$A$2:$A$1001,customers!$B$2:$B$1001)</f>
        <v>Pammi Endacott</v>
      </c>
      <c r="G63" s="2" t="str">
        <f>IF(_xlfn.XLOOKUP(C63,customers!$A$2:$A$1001,customers!$C$2:$C$1001,,)=0,"",_xlfn.XLOOKUP(C63,customers!$A$2:$A$1001,customers!$C$2:$C$1001,,))</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cm="1">
        <f t="array" ref="N63">_xlfn.IFS(I63="Rob","Robusta",I63="Exc","Excelsa",I63="Ara","Arabica",I63="Lib","Liberica")</f>
        <v>Robusta</v>
      </c>
      <c r="O63" t="str" cm="1">
        <f t="array" ref="O63">_xlfn.IFS(J63="M","Medium",J63="L","Light",J63="D","Dark")</f>
        <v>Dark</v>
      </c>
      <c r="P63" t="str">
        <f>_xlfn.XLOOKUP(Orders[[#This Row],[Customer ID]],customers!$A$1:$A$1001,customers!$I$1:$I$1001,,0)</f>
        <v>Yes</v>
      </c>
    </row>
    <row r="64" spans="1:16" x14ac:dyDescent="0.25">
      <c r="A64" s="2" t="s">
        <v>838</v>
      </c>
      <c r="B64" s="3">
        <v>43505</v>
      </c>
      <c r="C64" s="2" t="s">
        <v>839</v>
      </c>
      <c r="D64" t="s">
        <v>6145</v>
      </c>
      <c r="E64" s="2">
        <v>5</v>
      </c>
      <c r="F64" s="2" t="str">
        <f>_xlfn.XLOOKUP(orders!C64,customers!$A$2:$A$1001,customers!$B$2:$B$1001)</f>
        <v>Nona Linklater</v>
      </c>
      <c r="G64" s="2" t="str">
        <f>IF(_xlfn.XLOOKUP(C64,customers!$A$2:$A$1001,customers!$C$2:$C$1001,,)=0,"",_xlfn.XLOOKUP(C64,customers!$A$2:$A$1001,customers!$C$2:$C$1001,,))</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cm="1">
        <f t="array" ref="N64">_xlfn.IFS(I64="Rob","Robusta",I64="Exc","Excelsa",I64="Ara","Arabica",I64="Lib","Liberica")</f>
        <v>Liberica</v>
      </c>
      <c r="O64" t="str" cm="1">
        <f t="array" ref="O64">_xlfn.IFS(J64="M","Medium",J64="L","Light",J64="D","Dark")</f>
        <v>Light</v>
      </c>
      <c r="P64" t="str">
        <f>_xlfn.XLOOKUP(Orders[[#This Row],[Customer ID]],customers!$A$1:$A$1001,customers!$I$1:$I$1001,,0)</f>
        <v>Yes</v>
      </c>
    </row>
    <row r="65" spans="1:16" x14ac:dyDescent="0.25">
      <c r="A65" s="2" t="s">
        <v>843</v>
      </c>
      <c r="B65" s="3">
        <v>43868</v>
      </c>
      <c r="C65" s="2" t="s">
        <v>844</v>
      </c>
      <c r="D65" t="s">
        <v>6157</v>
      </c>
      <c r="E65" s="2">
        <v>1</v>
      </c>
      <c r="F65" s="2" t="str">
        <f>_xlfn.XLOOKUP(orders!C65,customers!$A$2:$A$1001,customers!$B$2:$B$1001)</f>
        <v>Annadiane Dykes</v>
      </c>
      <c r="G65" s="2" t="str">
        <f>IF(_xlfn.XLOOKUP(C65,customers!$A$2:$A$1001,customers!$C$2:$C$1001,,)=0,"",_xlfn.XLOOKUP(C65,customers!$A$2:$A$1001,customers!$C$2:$C$1001,,))</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_xlfn.IFS(I65="Rob","Robusta",I65="Exc","Excelsa",I65="Ara","Arabica",I65="Lib","Liberica")</f>
        <v>Arabica</v>
      </c>
      <c r="O65" t="str" cm="1">
        <f t="array" ref="O65">_xlfn.IFS(J65="M","Medium",J65="L","Light",J65="D","Dark")</f>
        <v>Medium</v>
      </c>
      <c r="P65" t="str">
        <f>_xlfn.XLOOKUP(Orders[[#This Row],[Customer ID]],customers!$A$1:$A$1001,customers!$I$1:$I$1001,,0)</f>
        <v>No</v>
      </c>
    </row>
    <row r="66" spans="1:16" x14ac:dyDescent="0.25">
      <c r="A66" s="2" t="s">
        <v>849</v>
      </c>
      <c r="B66" s="3">
        <v>43913</v>
      </c>
      <c r="C66" s="2" t="s">
        <v>850</v>
      </c>
      <c r="D66" t="s">
        <v>6146</v>
      </c>
      <c r="E66" s="2">
        <v>6</v>
      </c>
      <c r="F66" s="2" t="str">
        <f>_xlfn.XLOOKUP(orders!C66,customers!$A$2:$A$1001,customers!$B$2:$B$1001)</f>
        <v>Felecia Dodgson</v>
      </c>
      <c r="G66" s="2" t="str">
        <f>IF(_xlfn.XLOOKUP(C66,customers!$A$2:$A$1001,customers!$C$2:$C$1001,,)=0,"",_xlfn.XLOOKUP(C66,customers!$A$2:$A$1001,customers!$C$2:$C$1001,,))</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_xlfn.IFS(I66="Rob","Robusta",I66="Exc","Excelsa",I66="Ara","Arabica",I66="Lib","Liberica")</f>
        <v>Robusta</v>
      </c>
      <c r="O66" t="str" cm="1">
        <f t="array" ref="O66">_xlfn.IFS(J66="M","Medium",J66="L","Light",J66="D","Dark")</f>
        <v>Medium</v>
      </c>
      <c r="P66" t="str">
        <f>_xlfn.XLOOKUP(Orders[[#This Row],[Customer ID]],customers!$A$1:$A$1001,customers!$I$1:$I$1001,,0)</f>
        <v>Yes</v>
      </c>
    </row>
    <row r="67" spans="1:16" x14ac:dyDescent="0.25">
      <c r="A67" s="2" t="s">
        <v>854</v>
      </c>
      <c r="B67" s="3">
        <v>44626</v>
      </c>
      <c r="C67" s="2" t="s">
        <v>855</v>
      </c>
      <c r="D67" t="s">
        <v>6149</v>
      </c>
      <c r="E67" s="2">
        <v>4</v>
      </c>
      <c r="F67" s="2" t="str">
        <f>_xlfn.XLOOKUP(orders!C67,customers!$A$2:$A$1001,customers!$B$2:$B$1001)</f>
        <v>Angelia Cockrem</v>
      </c>
      <c r="G67" s="2" t="str">
        <f>IF(_xlfn.XLOOKUP(C67,customers!$A$2:$A$1001,customers!$C$2:$C$1001,,)=0,"",_xlfn.XLOOKUP(C67,customers!$A$2:$A$1001,customers!$C$2:$C$1001,,))</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L67*E67</f>
        <v>82.339999999999989</v>
      </c>
      <c r="N67" t="str" cm="1">
        <f t="array" ref="N67">_xlfn.IFS(I67="Rob","Robusta",I67="Exc","Excelsa",I67="Ara","Arabica",I67="Lib","Liberica")</f>
        <v>Robusta</v>
      </c>
      <c r="O67" t="str" cm="1">
        <f t="array" ref="O67">_xlfn.IFS(J67="M","Medium",J67="L","Light",J67="D","Dark")</f>
        <v>Dark</v>
      </c>
      <c r="P67" t="str">
        <f>_xlfn.XLOOKUP(Orders[[#This Row],[Customer ID]],customers!$A$1:$A$1001,customers!$I$1:$I$1001,,0)</f>
        <v>Yes</v>
      </c>
    </row>
    <row r="68" spans="1:16" x14ac:dyDescent="0.25">
      <c r="A68" s="2" t="s">
        <v>860</v>
      </c>
      <c r="B68" s="3">
        <v>44666</v>
      </c>
      <c r="C68" s="2" t="s">
        <v>861</v>
      </c>
      <c r="D68" t="s">
        <v>6173</v>
      </c>
      <c r="E68" s="2">
        <v>1</v>
      </c>
      <c r="F68" s="2" t="str">
        <f>_xlfn.XLOOKUP(orders!C68,customers!$A$2:$A$1001,customers!$B$2:$B$1001)</f>
        <v>Belvia Umpleby</v>
      </c>
      <c r="G68" s="2" t="str">
        <f>IF(_xlfn.XLOOKUP(C68,customers!$A$2:$A$1001,customers!$C$2:$C$1001,,)=0,"",_xlfn.XLOOKUP(C68,customers!$A$2:$A$1001,customers!$C$2:$C$1001,,))</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cm="1">
        <f t="array" ref="N68">_xlfn.IFS(I68="Rob","Robusta",I68="Exc","Excelsa",I68="Ara","Arabica",I68="Lib","Liberica")</f>
        <v>Robusta</v>
      </c>
      <c r="O68" t="str" cm="1">
        <f t="array" ref="O68">_xlfn.IFS(J68="M","Medium",J68="L","Light",J68="D","Dark")</f>
        <v>Light</v>
      </c>
      <c r="P68" t="str">
        <f>_xlfn.XLOOKUP(Orders[[#This Row],[Customer ID]],customers!$A$1:$A$1001,customers!$I$1:$I$1001,,0)</f>
        <v>Yes</v>
      </c>
    </row>
    <row r="69" spans="1:16" x14ac:dyDescent="0.25">
      <c r="A69" s="2" t="s">
        <v>866</v>
      </c>
      <c r="B69" s="3">
        <v>44519</v>
      </c>
      <c r="C69" s="2" t="s">
        <v>867</v>
      </c>
      <c r="D69" t="s">
        <v>6145</v>
      </c>
      <c r="E69" s="2">
        <v>2</v>
      </c>
      <c r="F69" s="2" t="str">
        <f>_xlfn.XLOOKUP(orders!C69,customers!$A$2:$A$1001,customers!$B$2:$B$1001)</f>
        <v>Nat Saleway</v>
      </c>
      <c r="G69" s="2" t="str">
        <f>IF(_xlfn.XLOOKUP(C69,customers!$A$2:$A$1001,customers!$C$2:$C$1001,,)=0,"",_xlfn.XLOOKUP(C69,customers!$A$2:$A$1001,customers!$C$2:$C$1001,,))</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cm="1">
        <f t="array" ref="N69">_xlfn.IFS(I69="Rob","Robusta",I69="Exc","Excelsa",I69="Ara","Arabica",I69="Lib","Liberica")</f>
        <v>Liberica</v>
      </c>
      <c r="O69" t="str" cm="1">
        <f t="array" ref="O69">_xlfn.IFS(J69="M","Medium",J69="L","Light",J69="D","Dark")</f>
        <v>Light</v>
      </c>
      <c r="P69" t="str">
        <f>_xlfn.XLOOKUP(Orders[[#This Row],[Customer ID]],customers!$A$1:$A$1001,customers!$I$1:$I$1001,,0)</f>
        <v>No</v>
      </c>
    </row>
    <row r="70" spans="1:16" x14ac:dyDescent="0.25">
      <c r="A70" s="2" t="s">
        <v>872</v>
      </c>
      <c r="B70" s="3">
        <v>43754</v>
      </c>
      <c r="C70" s="2" t="s">
        <v>873</v>
      </c>
      <c r="D70" t="s">
        <v>6174</v>
      </c>
      <c r="E70" s="2">
        <v>1</v>
      </c>
      <c r="F70" s="2" t="str">
        <f>_xlfn.XLOOKUP(orders!C70,customers!$A$2:$A$1001,customers!$B$2:$B$1001)</f>
        <v>Hayward Goulter</v>
      </c>
      <c r="G70" s="2" t="str">
        <f>IF(_xlfn.XLOOKUP(C70,customers!$A$2:$A$1001,customers!$C$2:$C$1001,,)=0,"",_xlfn.XLOOKUP(C70,customers!$A$2:$A$1001,customers!$C$2:$C$1001,,))</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cm="1">
        <f t="array" ref="N70">_xlfn.IFS(I70="Rob","Robusta",I70="Exc","Excelsa",I70="Ara","Arabica",I70="Lib","Liberica")</f>
        <v>Robusta</v>
      </c>
      <c r="O70" t="str" cm="1">
        <f t="array" ref="O70">_xlfn.IFS(J70="M","Medium",J70="L","Light",J70="D","Dark")</f>
        <v>Medium</v>
      </c>
      <c r="P70" t="str">
        <f>_xlfn.XLOOKUP(Orders[[#This Row],[Customer ID]],customers!$A$1:$A$1001,customers!$I$1:$I$1001,,0)</f>
        <v>No</v>
      </c>
    </row>
    <row r="71" spans="1:16" x14ac:dyDescent="0.25">
      <c r="A71" s="2" t="s">
        <v>878</v>
      </c>
      <c r="B71" s="3">
        <v>43795</v>
      </c>
      <c r="C71" s="2" t="s">
        <v>879</v>
      </c>
      <c r="D71" t="s">
        <v>6138</v>
      </c>
      <c r="E71" s="2">
        <v>6</v>
      </c>
      <c r="F71" s="2" t="str">
        <f>_xlfn.XLOOKUP(orders!C71,customers!$A$2:$A$1001,customers!$B$2:$B$1001)</f>
        <v>Gay Rizzello</v>
      </c>
      <c r="G71" s="2" t="str">
        <f>IF(_xlfn.XLOOKUP(C71,customers!$A$2:$A$1001,customers!$C$2:$C$1001,,)=0,"",_xlfn.XLOOKUP(C71,customers!$A$2:$A$1001,customers!$C$2:$C$1001,,))</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cm="1">
        <f t="array" ref="N71">_xlfn.IFS(I71="Rob","Robusta",I71="Exc","Excelsa",I71="Ara","Arabica",I71="Lib","Liberica")</f>
        <v>Robusta</v>
      </c>
      <c r="O71" t="str" cm="1">
        <f t="array" ref="O71">_xlfn.IFS(J71="M","Medium",J71="L","Light",J71="D","Dark")</f>
        <v>Medium</v>
      </c>
      <c r="P71" t="str">
        <f>_xlfn.XLOOKUP(Orders[[#This Row],[Customer ID]],customers!$A$1:$A$1001,customers!$I$1:$I$1001,,0)</f>
        <v>Yes</v>
      </c>
    </row>
    <row r="72" spans="1:16" x14ac:dyDescent="0.25">
      <c r="A72" s="2" t="s">
        <v>885</v>
      </c>
      <c r="B72" s="3">
        <v>43646</v>
      </c>
      <c r="C72" s="2" t="s">
        <v>886</v>
      </c>
      <c r="D72" t="s">
        <v>6148</v>
      </c>
      <c r="E72" s="2">
        <v>4</v>
      </c>
      <c r="F72" s="2" t="str">
        <f>_xlfn.XLOOKUP(orders!C72,customers!$A$2:$A$1001,customers!$B$2:$B$1001)</f>
        <v>Shannon List</v>
      </c>
      <c r="G72" s="2" t="str">
        <f>IF(_xlfn.XLOOKUP(C72,customers!$A$2:$A$1001,customers!$C$2:$C$1001,,)=0,"",_xlfn.XLOOKUP(C72,customers!$A$2:$A$1001,customers!$C$2:$C$1001,,))</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cm="1">
        <f t="array" ref="N72">_xlfn.IFS(I72="Rob","Robusta",I72="Exc","Excelsa",I72="Ara","Arabica",I72="Lib","Liberica")</f>
        <v>Excelsa</v>
      </c>
      <c r="O72" t="str" cm="1">
        <f t="array" ref="O72">_xlfn.IFS(J72="M","Medium",J72="L","Light",J72="D","Dark")</f>
        <v>Light</v>
      </c>
      <c r="P72" t="str">
        <f>_xlfn.XLOOKUP(Orders[[#This Row],[Customer ID]],customers!$A$1:$A$1001,customers!$I$1:$I$1001,,0)</f>
        <v>No</v>
      </c>
    </row>
    <row r="73" spans="1:16" x14ac:dyDescent="0.25">
      <c r="A73" s="2" t="s">
        <v>891</v>
      </c>
      <c r="B73" s="3">
        <v>44200</v>
      </c>
      <c r="C73" s="2" t="s">
        <v>892</v>
      </c>
      <c r="D73" t="s">
        <v>6145</v>
      </c>
      <c r="E73" s="2">
        <v>2</v>
      </c>
      <c r="F73" s="2" t="str">
        <f>_xlfn.XLOOKUP(orders!C73,customers!$A$2:$A$1001,customers!$B$2:$B$1001)</f>
        <v>Shirlene Edmondson</v>
      </c>
      <c r="G73" s="2" t="str">
        <f>IF(_xlfn.XLOOKUP(C73,customers!$A$2:$A$1001,customers!$C$2:$C$1001,,)=0,"",_xlfn.XLOOKUP(C73,customers!$A$2:$A$1001,customers!$C$2:$C$1001,,))</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cm="1">
        <f t="array" ref="N73">_xlfn.IFS(I73="Rob","Robusta",I73="Exc","Excelsa",I73="Ara","Arabica",I73="Lib","Liberica")</f>
        <v>Liberica</v>
      </c>
      <c r="O73" t="str" cm="1">
        <f t="array" ref="O73">_xlfn.IFS(J73="M","Medium",J73="L","Light",J73="D","Dark")</f>
        <v>Light</v>
      </c>
      <c r="P73" t="str">
        <f>_xlfn.XLOOKUP(Orders[[#This Row],[Customer ID]],customers!$A$1:$A$1001,customers!$I$1:$I$1001,,0)</f>
        <v>No</v>
      </c>
    </row>
    <row r="74" spans="1:16" x14ac:dyDescent="0.25">
      <c r="A74" s="2" t="s">
        <v>897</v>
      </c>
      <c r="B74" s="3">
        <v>44131</v>
      </c>
      <c r="C74" s="2" t="s">
        <v>898</v>
      </c>
      <c r="D74" t="s">
        <v>6175</v>
      </c>
      <c r="E74" s="2">
        <v>3</v>
      </c>
      <c r="F74" s="2" t="str">
        <f>_xlfn.XLOOKUP(orders!C74,customers!$A$2:$A$1001,customers!$B$2:$B$1001)</f>
        <v>Aurlie McCarl</v>
      </c>
      <c r="G74" s="2" t="str">
        <f>IF(_xlfn.XLOOKUP(C74,customers!$A$2:$A$1001,customers!$C$2:$C$1001,,)=0,"",_xlfn.XLOOKUP(C74,customers!$A$2:$A$1001,customers!$C$2:$C$1001,,))</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cm="1">
        <f t="array" ref="N74">_xlfn.IFS(I74="Rob","Robusta",I74="Exc","Excelsa",I74="Ara","Arabica",I74="Lib","Liberica")</f>
        <v>Arabica</v>
      </c>
      <c r="O74" t="str" cm="1">
        <f t="array" ref="O74">_xlfn.IFS(J74="M","Medium",J74="L","Light",J74="D","Dark")</f>
        <v>Medium</v>
      </c>
      <c r="P74" t="str">
        <f>_xlfn.XLOOKUP(Orders[[#This Row],[Customer ID]],customers!$A$1:$A$1001,customers!$I$1:$I$1001,,0)</f>
        <v>No</v>
      </c>
    </row>
    <row r="75" spans="1:16" x14ac:dyDescent="0.25">
      <c r="A75" s="2" t="s">
        <v>902</v>
      </c>
      <c r="B75" s="3">
        <v>44362</v>
      </c>
      <c r="C75" s="2" t="s">
        <v>903</v>
      </c>
      <c r="D75" t="s">
        <v>6159</v>
      </c>
      <c r="E75" s="2">
        <v>5</v>
      </c>
      <c r="F75" s="2" t="str">
        <f>_xlfn.XLOOKUP(orders!C75,customers!$A$2:$A$1001,customers!$B$2:$B$1001)</f>
        <v>Alikee Carryer</v>
      </c>
      <c r="G75" s="2" t="str">
        <f>IF(_xlfn.XLOOKUP(C75,customers!$A$2:$A$1001,customers!$C$2:$C$1001,,)=0,"",_xlfn.XLOOKUP(C75,customers!$A$2:$A$1001,customers!$C$2:$C$1001,,))</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cm="1">
        <f t="array" ref="N75">_xlfn.IFS(I75="Rob","Robusta",I75="Exc","Excelsa",I75="Ara","Arabica",I75="Lib","Liberica")</f>
        <v>Liberica</v>
      </c>
      <c r="O75" t="str" cm="1">
        <f t="array" ref="O75">_xlfn.IFS(J75="M","Medium",J75="L","Light",J75="D","Dark")</f>
        <v>Medium</v>
      </c>
      <c r="P75" t="str">
        <f>_xlfn.XLOOKUP(Orders[[#This Row],[Customer ID]],customers!$A$1:$A$1001,customers!$I$1:$I$1001,,0)</f>
        <v>Yes</v>
      </c>
    </row>
    <row r="76" spans="1:16" x14ac:dyDescent="0.25">
      <c r="A76" s="2" t="s">
        <v>907</v>
      </c>
      <c r="B76" s="3">
        <v>44396</v>
      </c>
      <c r="C76" s="2" t="s">
        <v>908</v>
      </c>
      <c r="D76" t="s">
        <v>6176</v>
      </c>
      <c r="E76" s="2">
        <v>2</v>
      </c>
      <c r="F76" s="2" t="str">
        <f>_xlfn.XLOOKUP(orders!C76,customers!$A$2:$A$1001,customers!$B$2:$B$1001)</f>
        <v>Jennifer Rangall</v>
      </c>
      <c r="G76" s="2" t="str">
        <f>IF(_xlfn.XLOOKUP(C76,customers!$A$2:$A$1001,customers!$C$2:$C$1001,,)=0,"",_xlfn.XLOOKUP(C76,customers!$A$2:$A$1001,customers!$C$2:$C$1001,,))</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cm="1">
        <f t="array" ref="N76">_xlfn.IFS(I76="Rob","Robusta",I76="Exc","Excelsa",I76="Ara","Arabica",I76="Lib","Liberica")</f>
        <v>Excelsa</v>
      </c>
      <c r="O76" t="str" cm="1">
        <f t="array" ref="O76">_xlfn.IFS(J76="M","Medium",J76="L","Light",J76="D","Dark")</f>
        <v>Light</v>
      </c>
      <c r="P76" t="str">
        <f>_xlfn.XLOOKUP(Orders[[#This Row],[Customer ID]],customers!$A$1:$A$1001,customers!$I$1:$I$1001,,0)</f>
        <v>Yes</v>
      </c>
    </row>
    <row r="77" spans="1:16" x14ac:dyDescent="0.25">
      <c r="A77" s="2" t="s">
        <v>913</v>
      </c>
      <c r="B77" s="3">
        <v>44400</v>
      </c>
      <c r="C77" s="2" t="s">
        <v>914</v>
      </c>
      <c r="D77" t="s">
        <v>6177</v>
      </c>
      <c r="E77" s="2">
        <v>6</v>
      </c>
      <c r="F77" s="2" t="str">
        <f>_xlfn.XLOOKUP(orders!C77,customers!$A$2:$A$1001,customers!$B$2:$B$1001)</f>
        <v>Kipper Boorn</v>
      </c>
      <c r="G77" s="2" t="str">
        <f>IF(_xlfn.XLOOKUP(C77,customers!$A$2:$A$1001,customers!$C$2:$C$1001,,)=0,"",_xlfn.XLOOKUP(C77,customers!$A$2:$A$1001,customers!$C$2:$C$1001,,))</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cm="1">
        <f t="array" ref="N77">_xlfn.IFS(I77="Rob","Robusta",I77="Exc","Excelsa",I77="Ara","Arabica",I77="Lib","Liberica")</f>
        <v>Robusta</v>
      </c>
      <c r="O77" t="str" cm="1">
        <f t="array" ref="O77">_xlfn.IFS(J77="M","Medium",J77="L","Light",J77="D","Dark")</f>
        <v>Dark</v>
      </c>
      <c r="P77" t="str">
        <f>_xlfn.XLOOKUP(Orders[[#This Row],[Customer ID]],customers!$A$1:$A$1001,customers!$I$1:$I$1001,,0)</f>
        <v>Yes</v>
      </c>
    </row>
    <row r="78" spans="1:16" x14ac:dyDescent="0.25">
      <c r="A78" s="2" t="s">
        <v>919</v>
      </c>
      <c r="B78" s="3">
        <v>43855</v>
      </c>
      <c r="C78" s="2" t="s">
        <v>920</v>
      </c>
      <c r="D78" t="s">
        <v>6178</v>
      </c>
      <c r="E78" s="2">
        <v>1</v>
      </c>
      <c r="F78" s="2" t="str">
        <f>_xlfn.XLOOKUP(orders!C78,customers!$A$2:$A$1001,customers!$B$2:$B$1001)</f>
        <v>Melania Beadle</v>
      </c>
      <c r="G78" s="2" t="str">
        <f>IF(_xlfn.XLOOKUP(C78,customers!$A$2:$A$1001,customers!$C$2:$C$1001,,)=0,"",_xlfn.XLOOKUP(C78,customers!$A$2:$A$1001,customers!$C$2:$C$1001,,))</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cm="1">
        <f t="array" ref="N78">_xlfn.IFS(I78="Rob","Robusta",I78="Exc","Excelsa",I78="Ara","Arabica",I78="Lib","Liberica")</f>
        <v>Robusta</v>
      </c>
      <c r="O78" t="str" cm="1">
        <f t="array" ref="O78">_xlfn.IFS(J78="M","Medium",J78="L","Light",J78="D","Dark")</f>
        <v>Light</v>
      </c>
      <c r="P78" t="str">
        <f>_xlfn.XLOOKUP(Orders[[#This Row],[Customer ID]],customers!$A$1:$A$1001,customers!$I$1:$I$1001,,0)</f>
        <v>Yes</v>
      </c>
    </row>
    <row r="79" spans="1:16" x14ac:dyDescent="0.25">
      <c r="A79" s="2" t="s">
        <v>924</v>
      </c>
      <c r="B79" s="3">
        <v>43594</v>
      </c>
      <c r="C79" s="2" t="s">
        <v>925</v>
      </c>
      <c r="D79" t="s">
        <v>6153</v>
      </c>
      <c r="E79" s="2">
        <v>2</v>
      </c>
      <c r="F79" s="2" t="str">
        <f>_xlfn.XLOOKUP(orders!C79,customers!$A$2:$A$1001,customers!$B$2:$B$1001)</f>
        <v>Colene Elgey</v>
      </c>
      <c r="G79" s="2" t="str">
        <f>IF(_xlfn.XLOOKUP(C79,customers!$A$2:$A$1001,customers!$C$2:$C$1001,,)=0,"",_xlfn.XLOOKUP(C79,customers!$A$2:$A$1001,customers!$C$2:$C$1001,,))</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cm="1">
        <f t="array" ref="N79">_xlfn.IFS(I79="Rob","Robusta",I79="Exc","Excelsa",I79="Ara","Arabica",I79="Lib","Liberica")</f>
        <v>Excelsa</v>
      </c>
      <c r="O79" t="str" cm="1">
        <f t="array" ref="O79">_xlfn.IFS(J79="M","Medium",J79="L","Light",J79="D","Dark")</f>
        <v>Dark</v>
      </c>
      <c r="P79" t="str">
        <f>_xlfn.XLOOKUP(Orders[[#This Row],[Customer ID]],customers!$A$1:$A$1001,customers!$I$1:$I$1001,,0)</f>
        <v>No</v>
      </c>
    </row>
    <row r="80" spans="1:16" x14ac:dyDescent="0.25">
      <c r="A80" s="2" t="s">
        <v>930</v>
      </c>
      <c r="B80" s="3">
        <v>43920</v>
      </c>
      <c r="C80" s="2" t="s">
        <v>931</v>
      </c>
      <c r="D80" t="s">
        <v>6157</v>
      </c>
      <c r="E80" s="2">
        <v>6</v>
      </c>
      <c r="F80" s="2" t="str">
        <f>_xlfn.XLOOKUP(orders!C80,customers!$A$2:$A$1001,customers!$B$2:$B$1001)</f>
        <v>Lothaire Mizzi</v>
      </c>
      <c r="G80" s="2" t="str">
        <f>IF(_xlfn.XLOOKUP(C80,customers!$A$2:$A$1001,customers!$C$2:$C$1001,,)=0,"",_xlfn.XLOOKUP(C80,customers!$A$2:$A$1001,customers!$C$2:$C$1001,,))</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cm="1">
        <f t="array" ref="N80">_xlfn.IFS(I80="Rob","Robusta",I80="Exc","Excelsa",I80="Ara","Arabica",I80="Lib","Liberica")</f>
        <v>Arabica</v>
      </c>
      <c r="O80" t="str" cm="1">
        <f t="array" ref="O80">_xlfn.IFS(J80="M","Medium",J80="L","Light",J80="D","Dark")</f>
        <v>Medium</v>
      </c>
      <c r="P80" t="str">
        <f>_xlfn.XLOOKUP(Orders[[#This Row],[Customer ID]],customers!$A$1:$A$1001,customers!$I$1:$I$1001,,0)</f>
        <v>Yes</v>
      </c>
    </row>
    <row r="81" spans="1:16" x14ac:dyDescent="0.25">
      <c r="A81" s="2" t="s">
        <v>936</v>
      </c>
      <c r="B81" s="3">
        <v>44633</v>
      </c>
      <c r="C81" s="2" t="s">
        <v>937</v>
      </c>
      <c r="D81" t="s">
        <v>6179</v>
      </c>
      <c r="E81" s="2">
        <v>4</v>
      </c>
      <c r="F81" s="2" t="str">
        <f>_xlfn.XLOOKUP(orders!C81,customers!$A$2:$A$1001,customers!$B$2:$B$1001)</f>
        <v>Cletis Giacomazzo</v>
      </c>
      <c r="G81" s="2" t="str">
        <f>IF(_xlfn.XLOOKUP(C81,customers!$A$2:$A$1001,customers!$C$2:$C$1001,,)=0,"",_xlfn.XLOOKUP(C81,customers!$A$2:$A$1001,customers!$C$2:$C$1001,,))</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cm="1">
        <f t="array" ref="N81">_xlfn.IFS(I81="Rob","Robusta",I81="Exc","Excelsa",I81="Ara","Arabica",I81="Lib","Liberica")</f>
        <v>Robusta</v>
      </c>
      <c r="O81" t="str" cm="1">
        <f t="array" ref="O81">_xlfn.IFS(J81="M","Medium",J81="L","Light",J81="D","Dark")</f>
        <v>Light</v>
      </c>
      <c r="P81" t="str">
        <f>_xlfn.XLOOKUP(Orders[[#This Row],[Customer ID]],customers!$A$1:$A$1001,customers!$I$1:$I$1001,,0)</f>
        <v>No</v>
      </c>
    </row>
    <row r="82" spans="1:16" x14ac:dyDescent="0.25">
      <c r="A82" s="2" t="s">
        <v>942</v>
      </c>
      <c r="B82" s="3">
        <v>43572</v>
      </c>
      <c r="C82" s="2" t="s">
        <v>943</v>
      </c>
      <c r="D82" t="s">
        <v>6180</v>
      </c>
      <c r="E82" s="2">
        <v>5</v>
      </c>
      <c r="F82" s="2" t="str">
        <f>_xlfn.XLOOKUP(orders!C82,customers!$A$2:$A$1001,customers!$B$2:$B$1001)</f>
        <v>Ami Arnow</v>
      </c>
      <c r="G82" s="2" t="str">
        <f>IF(_xlfn.XLOOKUP(C82,customers!$A$2:$A$1001,customers!$C$2:$C$1001,,)=0,"",_xlfn.XLOOKUP(C82,customers!$A$2:$A$1001,customers!$C$2:$C$1001,,))</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cm="1">
        <f t="array" ref="N82">_xlfn.IFS(I82="Rob","Robusta",I82="Exc","Excelsa",I82="Ara","Arabica",I82="Lib","Liberica")</f>
        <v>Arabica</v>
      </c>
      <c r="O82" t="str" cm="1">
        <f t="array" ref="O82">_xlfn.IFS(J82="M","Medium",J82="L","Light",J82="D","Dark")</f>
        <v>Light</v>
      </c>
      <c r="P82" t="str">
        <f>_xlfn.XLOOKUP(Orders[[#This Row],[Customer ID]],customers!$A$1:$A$1001,customers!$I$1:$I$1001,,0)</f>
        <v>Yes</v>
      </c>
    </row>
    <row r="83" spans="1:16" x14ac:dyDescent="0.25">
      <c r="A83" s="2" t="s">
        <v>948</v>
      </c>
      <c r="B83" s="3">
        <v>43763</v>
      </c>
      <c r="C83" s="2" t="s">
        <v>949</v>
      </c>
      <c r="D83" t="s">
        <v>6164</v>
      </c>
      <c r="E83" s="2">
        <v>3</v>
      </c>
      <c r="F83" s="2" t="str">
        <f>_xlfn.XLOOKUP(orders!C83,customers!$A$2:$A$1001,customers!$B$2:$B$1001)</f>
        <v>Sheppard Yann</v>
      </c>
      <c r="G83" s="2" t="str">
        <f>IF(_xlfn.XLOOKUP(C83,customers!$A$2:$A$1001,customers!$C$2:$C$1001,,)=0,"",_xlfn.XLOOKUP(C83,customers!$A$2:$A$1001,customers!$C$2:$C$1001,,))</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cm="1">
        <f t="array" ref="N83">_xlfn.IFS(I83="Rob","Robusta",I83="Exc","Excelsa",I83="Ara","Arabica",I83="Lib","Liberica")</f>
        <v>Liberica</v>
      </c>
      <c r="O83" t="str" cm="1">
        <f t="array" ref="O83">_xlfn.IFS(J83="M","Medium",J83="L","Light",J83="D","Dark")</f>
        <v>Light</v>
      </c>
      <c r="P83" t="str">
        <f>_xlfn.XLOOKUP(Orders[[#This Row],[Customer ID]],customers!$A$1:$A$1001,customers!$I$1:$I$1001,,0)</f>
        <v>Yes</v>
      </c>
    </row>
    <row r="84" spans="1:16" x14ac:dyDescent="0.25">
      <c r="A84" s="2" t="s">
        <v>954</v>
      </c>
      <c r="B84" s="3">
        <v>43721</v>
      </c>
      <c r="C84" s="2" t="s">
        <v>955</v>
      </c>
      <c r="D84" t="s">
        <v>6181</v>
      </c>
      <c r="E84" s="2">
        <v>3</v>
      </c>
      <c r="F84" s="2" t="str">
        <f>_xlfn.XLOOKUP(orders!C84,customers!$A$2:$A$1001,customers!$B$2:$B$1001)</f>
        <v>Bunny Naulls</v>
      </c>
      <c r="G84" s="2" t="str">
        <f>IF(_xlfn.XLOOKUP(C84,customers!$A$2:$A$1001,customers!$C$2:$C$1001,,)=0,"",_xlfn.XLOOKUP(C84,customers!$A$2:$A$1001,customers!$C$2:$C$1001,,))</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cm="1">
        <f t="array" ref="N84">_xlfn.IFS(I84="Rob","Robusta",I84="Exc","Excelsa",I84="Ara","Arabica",I84="Lib","Liberica")</f>
        <v>Liberica</v>
      </c>
      <c r="O84" t="str" cm="1">
        <f t="array" ref="O84">_xlfn.IFS(J84="M","Medium",J84="L","Light",J84="D","Dark")</f>
        <v>Medium</v>
      </c>
      <c r="P84" t="str">
        <f>_xlfn.XLOOKUP(Orders[[#This Row],[Customer ID]],customers!$A$1:$A$1001,customers!$I$1:$I$1001,,0)</f>
        <v>Yes</v>
      </c>
    </row>
    <row r="85" spans="1:16" x14ac:dyDescent="0.25">
      <c r="A85" s="2" t="s">
        <v>960</v>
      </c>
      <c r="B85" s="3">
        <v>43933</v>
      </c>
      <c r="C85" s="2" t="s">
        <v>961</v>
      </c>
      <c r="D85" t="s">
        <v>6149</v>
      </c>
      <c r="E85" s="2">
        <v>4</v>
      </c>
      <c r="F85" s="2" t="str">
        <f>_xlfn.XLOOKUP(orders!C85,customers!$A$2:$A$1001,customers!$B$2:$B$1001)</f>
        <v>Hally Lorait</v>
      </c>
      <c r="G85" s="2" t="str">
        <f>IF(_xlfn.XLOOKUP(C85,customers!$A$2:$A$1001,customers!$C$2:$C$1001,,)=0,"",_xlfn.XLOOKUP(C85,customers!$A$2:$A$1001,customers!$C$2:$C$1001,,))</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cm="1">
        <f t="array" ref="N85">_xlfn.IFS(I85="Rob","Robusta",I85="Exc","Excelsa",I85="Ara","Arabica",I85="Lib","Liberica")</f>
        <v>Robusta</v>
      </c>
      <c r="O85" t="str" cm="1">
        <f t="array" ref="O85">_xlfn.IFS(J85="M","Medium",J85="L","Light",J85="D","Dark")</f>
        <v>Dark</v>
      </c>
      <c r="P85" t="str">
        <f>_xlfn.XLOOKUP(Orders[[#This Row],[Customer ID]],customers!$A$1:$A$1001,customers!$I$1:$I$1001,,0)</f>
        <v>Yes</v>
      </c>
    </row>
    <row r="86" spans="1:16" x14ac:dyDescent="0.25">
      <c r="A86" s="2" t="s">
        <v>965</v>
      </c>
      <c r="B86" s="3">
        <v>43783</v>
      </c>
      <c r="C86" s="2" t="s">
        <v>966</v>
      </c>
      <c r="D86" t="s">
        <v>6161</v>
      </c>
      <c r="E86" s="2">
        <v>1</v>
      </c>
      <c r="F86" s="2" t="str">
        <f>_xlfn.XLOOKUP(orders!C86,customers!$A$2:$A$1001,customers!$B$2:$B$1001)</f>
        <v>Zaccaria Sherewood</v>
      </c>
      <c r="G86" s="2" t="str">
        <f>IF(_xlfn.XLOOKUP(C86,customers!$A$2:$A$1001,customers!$C$2:$C$1001,,)=0,"",_xlfn.XLOOKUP(C86,customers!$A$2:$A$1001,customers!$C$2:$C$1001,,))</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cm="1">
        <f t="array" ref="N86">_xlfn.IFS(I86="Rob","Robusta",I86="Exc","Excelsa",I86="Ara","Arabica",I86="Lib","Liberica")</f>
        <v>Liberica</v>
      </c>
      <c r="O86" t="str" cm="1">
        <f t="array" ref="O86">_xlfn.IFS(J86="M","Medium",J86="L","Light",J86="D","Dark")</f>
        <v>Light</v>
      </c>
      <c r="P86" t="str">
        <f>_xlfn.XLOOKUP(Orders[[#This Row],[Customer ID]],customers!$A$1:$A$1001,customers!$I$1:$I$1001,,0)</f>
        <v>No</v>
      </c>
    </row>
    <row r="87" spans="1:16" x14ac:dyDescent="0.25">
      <c r="A87" s="2" t="s">
        <v>971</v>
      </c>
      <c r="B87" s="3">
        <v>43664</v>
      </c>
      <c r="C87" s="2" t="s">
        <v>972</v>
      </c>
      <c r="D87" t="s">
        <v>6182</v>
      </c>
      <c r="E87" s="2">
        <v>3</v>
      </c>
      <c r="F87" s="2" t="str">
        <f>_xlfn.XLOOKUP(orders!C87,customers!$A$2:$A$1001,customers!$B$2:$B$1001)</f>
        <v>Jeffrey Dufaire</v>
      </c>
      <c r="G87" s="2" t="str">
        <f>IF(_xlfn.XLOOKUP(C87,customers!$A$2:$A$1001,customers!$C$2:$C$1001,,)=0,"",_xlfn.XLOOKUP(C87,customers!$A$2:$A$1001,customers!$C$2:$C$1001,,))</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cm="1">
        <f t="array" ref="N87">_xlfn.IFS(I87="Rob","Robusta",I87="Exc","Excelsa",I87="Ara","Arabica",I87="Lib","Liberica")</f>
        <v>Arabica</v>
      </c>
      <c r="O87" t="str" cm="1">
        <f t="array" ref="O87">_xlfn.IFS(J87="M","Medium",J87="L","Light",J87="D","Dark")</f>
        <v>Light</v>
      </c>
      <c r="P87" t="str">
        <f>_xlfn.XLOOKUP(Orders[[#This Row],[Customer ID]],customers!$A$1:$A$1001,customers!$I$1:$I$1001,,0)</f>
        <v>No</v>
      </c>
    </row>
    <row r="88" spans="1:16" x14ac:dyDescent="0.25">
      <c r="A88" s="2" t="s">
        <v>971</v>
      </c>
      <c r="B88" s="3">
        <v>43664</v>
      </c>
      <c r="C88" s="2" t="s">
        <v>972</v>
      </c>
      <c r="D88" t="s">
        <v>6154</v>
      </c>
      <c r="E88" s="2">
        <v>4</v>
      </c>
      <c r="F88" s="2" t="str">
        <f>_xlfn.XLOOKUP(orders!C88,customers!$A$2:$A$1001,customers!$B$2:$B$1001)</f>
        <v>Jeffrey Dufaire</v>
      </c>
      <c r="G88" s="2" t="str">
        <f>IF(_xlfn.XLOOKUP(C88,customers!$A$2:$A$1001,customers!$C$2:$C$1001,,)=0,"",_xlfn.XLOOKUP(C88,customers!$A$2:$A$1001,customers!$C$2:$C$1001,,))</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cm="1">
        <f t="array" ref="N88">_xlfn.IFS(I88="Rob","Robusta",I88="Exc","Excelsa",I88="Ara","Arabica",I88="Lib","Liberica")</f>
        <v>Arabica</v>
      </c>
      <c r="O88" t="str" cm="1">
        <f t="array" ref="O88">_xlfn.IFS(J88="M","Medium",J88="L","Light",J88="D","Dark")</f>
        <v>Dark</v>
      </c>
      <c r="P88" t="str">
        <f>_xlfn.XLOOKUP(Orders[[#This Row],[Customer ID]],customers!$A$1:$A$1001,customers!$I$1:$I$1001,,0)</f>
        <v>No</v>
      </c>
    </row>
    <row r="89" spans="1:16" x14ac:dyDescent="0.25">
      <c r="A89" s="2" t="s">
        <v>980</v>
      </c>
      <c r="B89" s="3">
        <v>44289</v>
      </c>
      <c r="C89" s="2" t="s">
        <v>981</v>
      </c>
      <c r="D89" t="s">
        <v>6155</v>
      </c>
      <c r="E89" s="2">
        <v>3</v>
      </c>
      <c r="F89" s="2" t="str">
        <f>_xlfn.XLOOKUP(orders!C89,customers!$A$2:$A$1001,customers!$B$2:$B$1001)</f>
        <v>Beitris Keaveney</v>
      </c>
      <c r="G89" s="2" t="str">
        <f>IF(_xlfn.XLOOKUP(C89,customers!$A$2:$A$1001,customers!$C$2:$C$1001,,)=0,"",_xlfn.XLOOKUP(C89,customers!$A$2:$A$1001,customers!$C$2:$C$1001,,))</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cm="1">
        <f t="array" ref="N89">_xlfn.IFS(I89="Rob","Robusta",I89="Exc","Excelsa",I89="Ara","Arabica",I89="Lib","Liberica")</f>
        <v>Arabica</v>
      </c>
      <c r="O89" t="str" cm="1">
        <f t="array" ref="O89">_xlfn.IFS(J89="M","Medium",J89="L","Light",J89="D","Dark")</f>
        <v>Medium</v>
      </c>
      <c r="P89" t="str">
        <f>_xlfn.XLOOKUP(Orders[[#This Row],[Customer ID]],customers!$A$1:$A$1001,customers!$I$1:$I$1001,,0)</f>
        <v>No</v>
      </c>
    </row>
    <row r="90" spans="1:16" x14ac:dyDescent="0.25">
      <c r="A90" s="2" t="s">
        <v>985</v>
      </c>
      <c r="B90" s="3">
        <v>44284</v>
      </c>
      <c r="C90" s="2" t="s">
        <v>986</v>
      </c>
      <c r="D90" t="s">
        <v>6179</v>
      </c>
      <c r="E90" s="2">
        <v>3</v>
      </c>
      <c r="F90" s="2" t="str">
        <f>_xlfn.XLOOKUP(orders!C90,customers!$A$2:$A$1001,customers!$B$2:$B$1001)</f>
        <v>Elna Grise</v>
      </c>
      <c r="G90" s="2" t="str">
        <f>IF(_xlfn.XLOOKUP(C90,customers!$A$2:$A$1001,customers!$C$2:$C$1001,,)=0,"",_xlfn.XLOOKUP(C90,customers!$A$2:$A$1001,customers!$C$2:$C$1001,,))</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cm="1">
        <f t="array" ref="N90">_xlfn.IFS(I90="Rob","Robusta",I90="Exc","Excelsa",I90="Ara","Arabica",I90="Lib","Liberica")</f>
        <v>Robusta</v>
      </c>
      <c r="O90" t="str" cm="1">
        <f t="array" ref="O90">_xlfn.IFS(J90="M","Medium",J90="L","Light",J90="D","Dark")</f>
        <v>Light</v>
      </c>
      <c r="P90" t="str">
        <f>_xlfn.XLOOKUP(Orders[[#This Row],[Customer ID]],customers!$A$1:$A$1001,customers!$I$1:$I$1001,,0)</f>
        <v>No</v>
      </c>
    </row>
    <row r="91" spans="1:16" x14ac:dyDescent="0.25">
      <c r="A91" s="2" t="s">
        <v>990</v>
      </c>
      <c r="B91" s="3">
        <v>44545</v>
      </c>
      <c r="C91" s="2" t="s">
        <v>991</v>
      </c>
      <c r="D91" t="s">
        <v>6140</v>
      </c>
      <c r="E91" s="2">
        <v>6</v>
      </c>
      <c r="F91" s="2" t="str">
        <f>_xlfn.XLOOKUP(orders!C91,customers!$A$2:$A$1001,customers!$B$2:$B$1001)</f>
        <v>Torie Gottelier</v>
      </c>
      <c r="G91" s="2" t="str">
        <f>IF(_xlfn.XLOOKUP(C91,customers!$A$2:$A$1001,customers!$C$2:$C$1001,,)=0,"",_xlfn.XLOOKUP(C91,customers!$A$2:$A$1001,customers!$C$2:$C$1001,,))</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cm="1">
        <f t="array" ref="N91">_xlfn.IFS(I91="Rob","Robusta",I91="Exc","Excelsa",I91="Ara","Arabica",I91="Lib","Liberica")</f>
        <v>Arabica</v>
      </c>
      <c r="O91" t="str" cm="1">
        <f t="array" ref="O91">_xlfn.IFS(J91="M","Medium",J91="L","Light",J91="D","Dark")</f>
        <v>Light</v>
      </c>
      <c r="P91" t="str">
        <f>_xlfn.XLOOKUP(Orders[[#This Row],[Customer ID]],customers!$A$1:$A$1001,customers!$I$1:$I$1001,,0)</f>
        <v>No</v>
      </c>
    </row>
    <row r="92" spans="1:16" x14ac:dyDescent="0.25">
      <c r="A92" s="2" t="s">
        <v>996</v>
      </c>
      <c r="B92" s="3">
        <v>43971</v>
      </c>
      <c r="C92" s="2" t="s">
        <v>997</v>
      </c>
      <c r="D92" t="s">
        <v>6140</v>
      </c>
      <c r="E92" s="2">
        <v>4</v>
      </c>
      <c r="F92" s="2" t="str">
        <f>_xlfn.XLOOKUP(orders!C92,customers!$A$2:$A$1001,customers!$B$2:$B$1001)</f>
        <v>Loydie Langlais</v>
      </c>
      <c r="G92" s="2" t="str">
        <f>IF(_xlfn.XLOOKUP(C92,customers!$A$2:$A$1001,customers!$C$2:$C$1001,,)=0,"",_xlfn.XLOOKUP(C92,customers!$A$2:$A$1001,customers!$C$2:$C$1001,,))</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cm="1">
        <f t="array" ref="N92">_xlfn.IFS(I92="Rob","Robusta",I92="Exc","Excelsa",I92="Ara","Arabica",I92="Lib","Liberica")</f>
        <v>Arabica</v>
      </c>
      <c r="O92" t="str" cm="1">
        <f t="array" ref="O92">_xlfn.IFS(J92="M","Medium",J92="L","Light",J92="D","Dark")</f>
        <v>Light</v>
      </c>
      <c r="P92" t="str">
        <f>_xlfn.XLOOKUP(Orders[[#This Row],[Customer ID]],customers!$A$1:$A$1001,customers!$I$1:$I$1001,,0)</f>
        <v>Yes</v>
      </c>
    </row>
    <row r="93" spans="1:16" x14ac:dyDescent="0.25">
      <c r="A93" s="2" t="s">
        <v>1001</v>
      </c>
      <c r="B93" s="3">
        <v>44137</v>
      </c>
      <c r="C93" s="2" t="s">
        <v>1002</v>
      </c>
      <c r="D93" t="s">
        <v>6175</v>
      </c>
      <c r="E93" s="2">
        <v>4</v>
      </c>
      <c r="F93" s="2" t="str">
        <f>_xlfn.XLOOKUP(orders!C93,customers!$A$2:$A$1001,customers!$B$2:$B$1001)</f>
        <v>Adham Greenhead</v>
      </c>
      <c r="G93" s="2" t="str">
        <f>IF(_xlfn.XLOOKUP(C93,customers!$A$2:$A$1001,customers!$C$2:$C$1001,,)=0,"",_xlfn.XLOOKUP(C93,customers!$A$2:$A$1001,customers!$C$2:$C$1001,,))</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cm="1">
        <f t="array" ref="N93">_xlfn.IFS(I93="Rob","Robusta",I93="Exc","Excelsa",I93="Ara","Arabica",I93="Lib","Liberica")</f>
        <v>Arabica</v>
      </c>
      <c r="O93" t="str" cm="1">
        <f t="array" ref="O93">_xlfn.IFS(J93="M","Medium",J93="L","Light",J93="D","Dark")</f>
        <v>Medium</v>
      </c>
      <c r="P93" t="str">
        <f>_xlfn.XLOOKUP(Orders[[#This Row],[Customer ID]],customers!$A$1:$A$1001,customers!$I$1:$I$1001,,0)</f>
        <v>No</v>
      </c>
    </row>
    <row r="94" spans="1:16" x14ac:dyDescent="0.25">
      <c r="A94" s="2" t="s">
        <v>1007</v>
      </c>
      <c r="B94" s="3">
        <v>44037</v>
      </c>
      <c r="C94" s="2" t="s">
        <v>1008</v>
      </c>
      <c r="D94" t="s">
        <v>6171</v>
      </c>
      <c r="E94" s="2">
        <v>3</v>
      </c>
      <c r="F94" s="2" t="str">
        <f>_xlfn.XLOOKUP(orders!C94,customers!$A$2:$A$1001,customers!$B$2:$B$1001)</f>
        <v>Hamish MacSherry</v>
      </c>
      <c r="G94" s="2" t="str">
        <f>IF(_xlfn.XLOOKUP(C94,customers!$A$2:$A$1001,customers!$C$2:$C$1001,,)=0,"",_xlfn.XLOOKUP(C94,customers!$A$2:$A$1001,customers!$C$2:$C$1001,,))</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cm="1">
        <f t="array" ref="N94">_xlfn.IFS(I94="Rob","Robusta",I94="Exc","Excelsa",I94="Ara","Arabica",I94="Lib","Liberica")</f>
        <v>Excelsa</v>
      </c>
      <c r="O94" t="str" cm="1">
        <f t="array" ref="O94">_xlfn.IFS(J94="M","Medium",J94="L","Light",J94="D","Dark")</f>
        <v>Light</v>
      </c>
      <c r="P94" t="str">
        <f>_xlfn.XLOOKUP(Orders[[#This Row],[Customer ID]],customers!$A$1:$A$1001,customers!$I$1:$I$1001,,0)</f>
        <v>Yes</v>
      </c>
    </row>
    <row r="95" spans="1:16" x14ac:dyDescent="0.25">
      <c r="A95" s="2" t="s">
        <v>1012</v>
      </c>
      <c r="B95" s="3">
        <v>43538</v>
      </c>
      <c r="C95" s="2" t="s">
        <v>1013</v>
      </c>
      <c r="D95" t="s">
        <v>6176</v>
      </c>
      <c r="E95" s="2">
        <v>4</v>
      </c>
      <c r="F95" s="2" t="str">
        <f>_xlfn.XLOOKUP(orders!C95,customers!$A$2:$A$1001,customers!$B$2:$B$1001)</f>
        <v>Else Langcaster</v>
      </c>
      <c r="G95" s="2" t="str">
        <f>IF(_xlfn.XLOOKUP(C95,customers!$A$2:$A$1001,customers!$C$2:$C$1001,,)=0,"",_xlfn.XLOOKUP(C95,customers!$A$2:$A$1001,customers!$C$2:$C$1001,,))</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cm="1">
        <f t="array" ref="N95">_xlfn.IFS(I95="Rob","Robusta",I95="Exc","Excelsa",I95="Ara","Arabica",I95="Lib","Liberica")</f>
        <v>Excelsa</v>
      </c>
      <c r="O95" t="str" cm="1">
        <f t="array" ref="O95">_xlfn.IFS(J95="M","Medium",J95="L","Light",J95="D","Dark")</f>
        <v>Light</v>
      </c>
      <c r="P95" t="str">
        <f>_xlfn.XLOOKUP(Orders[[#This Row],[Customer ID]],customers!$A$1:$A$1001,customers!$I$1:$I$1001,,0)</f>
        <v>Yes</v>
      </c>
    </row>
    <row r="96" spans="1:16" x14ac:dyDescent="0.25">
      <c r="A96" s="2" t="s">
        <v>1018</v>
      </c>
      <c r="B96" s="3">
        <v>44014</v>
      </c>
      <c r="C96" s="2" t="s">
        <v>1019</v>
      </c>
      <c r="D96" t="s">
        <v>6154</v>
      </c>
      <c r="E96" s="2">
        <v>6</v>
      </c>
      <c r="F96" s="2" t="str">
        <f>_xlfn.XLOOKUP(orders!C96,customers!$A$2:$A$1001,customers!$B$2:$B$1001)</f>
        <v>Rudy Farquharson</v>
      </c>
      <c r="G96" s="2" t="str">
        <f>IF(_xlfn.XLOOKUP(C96,customers!$A$2:$A$1001,customers!$C$2:$C$1001,,)=0,"",_xlfn.XLOOKUP(C96,customers!$A$2:$A$1001,customers!$C$2:$C$1001,,))</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cm="1">
        <f t="array" ref="N96">_xlfn.IFS(I96="Rob","Robusta",I96="Exc","Excelsa",I96="Ara","Arabica",I96="Lib","Liberica")</f>
        <v>Arabica</v>
      </c>
      <c r="O96" t="str" cm="1">
        <f t="array" ref="O96">_xlfn.IFS(J96="M","Medium",J96="L","Light",J96="D","Dark")</f>
        <v>Dark</v>
      </c>
      <c r="P96" t="str">
        <f>_xlfn.XLOOKUP(Orders[[#This Row],[Customer ID]],customers!$A$1:$A$1001,customers!$I$1:$I$1001,,0)</f>
        <v>Yes</v>
      </c>
    </row>
    <row r="97" spans="1:16" x14ac:dyDescent="0.25">
      <c r="A97" s="2" t="s">
        <v>1022</v>
      </c>
      <c r="B97" s="3">
        <v>43816</v>
      </c>
      <c r="C97" s="2" t="s">
        <v>1023</v>
      </c>
      <c r="D97" t="s">
        <v>6175</v>
      </c>
      <c r="E97" s="2">
        <v>6</v>
      </c>
      <c r="F97" s="2" t="str">
        <f>_xlfn.XLOOKUP(orders!C97,customers!$A$2:$A$1001,customers!$B$2:$B$1001)</f>
        <v>Norene Magauran</v>
      </c>
      <c r="G97" s="2" t="str">
        <f>IF(_xlfn.XLOOKUP(C97,customers!$A$2:$A$1001,customers!$C$2:$C$1001,,)=0,"",_xlfn.XLOOKUP(C97,customers!$A$2:$A$1001,customers!$C$2:$C$1001,,))</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cm="1">
        <f t="array" ref="N97">_xlfn.IFS(I97="Rob","Robusta",I97="Exc","Excelsa",I97="Ara","Arabica",I97="Lib","Liberica")</f>
        <v>Arabica</v>
      </c>
      <c r="O97" t="str" cm="1">
        <f t="array" ref="O97">_xlfn.IFS(J97="M","Medium",J97="L","Light",J97="D","Dark")</f>
        <v>Medium</v>
      </c>
      <c r="P97" t="str">
        <f>_xlfn.XLOOKUP(Orders[[#This Row],[Customer ID]],customers!$A$1:$A$1001,customers!$I$1:$I$1001,,0)</f>
        <v>No</v>
      </c>
    </row>
    <row r="98" spans="1:16" x14ac:dyDescent="0.25">
      <c r="A98" s="2" t="s">
        <v>1027</v>
      </c>
      <c r="B98" s="3">
        <v>44171</v>
      </c>
      <c r="C98" s="2" t="s">
        <v>1028</v>
      </c>
      <c r="D98" t="s">
        <v>6154</v>
      </c>
      <c r="E98" s="2">
        <v>2</v>
      </c>
      <c r="F98" s="2" t="str">
        <f>_xlfn.XLOOKUP(orders!C98,customers!$A$2:$A$1001,customers!$B$2:$B$1001)</f>
        <v>Vicki Kirdsch</v>
      </c>
      <c r="G98" s="2" t="str">
        <f>IF(_xlfn.XLOOKUP(C98,customers!$A$2:$A$1001,customers!$C$2:$C$1001,,)=0,"",_xlfn.XLOOKUP(C98,customers!$A$2:$A$1001,customers!$C$2:$C$1001,,))</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cm="1">
        <f t="array" ref="N98">_xlfn.IFS(I98="Rob","Robusta",I98="Exc","Excelsa",I98="Ara","Arabica",I98="Lib","Liberica")</f>
        <v>Arabica</v>
      </c>
      <c r="O98" t="str" cm="1">
        <f t="array" ref="O98">_xlfn.IFS(J98="M","Medium",J98="L","Light",J98="D","Dark")</f>
        <v>Dark</v>
      </c>
      <c r="P98" t="str">
        <f>_xlfn.XLOOKUP(Orders[[#This Row],[Customer ID]],customers!$A$1:$A$1001,customers!$I$1:$I$1001,,0)</f>
        <v>No</v>
      </c>
    </row>
    <row r="99" spans="1:16" x14ac:dyDescent="0.25">
      <c r="A99" s="2" t="s">
        <v>1032</v>
      </c>
      <c r="B99" s="3">
        <v>44259</v>
      </c>
      <c r="C99" s="2" t="s">
        <v>1033</v>
      </c>
      <c r="D99" t="s">
        <v>6157</v>
      </c>
      <c r="E99" s="2">
        <v>2</v>
      </c>
      <c r="F99" s="2" t="str">
        <f>_xlfn.XLOOKUP(orders!C99,customers!$A$2:$A$1001,customers!$B$2:$B$1001)</f>
        <v>Ilysa Whapple</v>
      </c>
      <c r="G99" s="2" t="str">
        <f>IF(_xlfn.XLOOKUP(C99,customers!$A$2:$A$1001,customers!$C$2:$C$1001,,)=0,"",_xlfn.XLOOKUP(C99,customers!$A$2:$A$1001,customers!$C$2:$C$1001,,))</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cm="1">
        <f t="array" ref="N99">_xlfn.IFS(I99="Rob","Robusta",I99="Exc","Excelsa",I99="Ara","Arabica",I99="Lib","Liberica")</f>
        <v>Arabica</v>
      </c>
      <c r="O99" t="str" cm="1">
        <f t="array" ref="O99">_xlfn.IFS(J99="M","Medium",J99="L","Light",J99="D","Dark")</f>
        <v>Medium</v>
      </c>
      <c r="P99" t="str">
        <f>_xlfn.XLOOKUP(Orders[[#This Row],[Customer ID]],customers!$A$1:$A$1001,customers!$I$1:$I$1001,,0)</f>
        <v>No</v>
      </c>
    </row>
    <row r="100" spans="1:16" x14ac:dyDescent="0.25">
      <c r="A100" s="2" t="s">
        <v>1038</v>
      </c>
      <c r="B100" s="3">
        <v>44394</v>
      </c>
      <c r="C100" s="2" t="s">
        <v>1039</v>
      </c>
      <c r="D100" t="s">
        <v>6154</v>
      </c>
      <c r="E100" s="2">
        <v>1</v>
      </c>
      <c r="F100" s="2" t="str">
        <f>_xlfn.XLOOKUP(orders!C100,customers!$A$2:$A$1001,customers!$B$2:$B$1001)</f>
        <v>Ruy Cancellieri</v>
      </c>
      <c r="G100" s="2" t="str">
        <f>IF(_xlfn.XLOOKUP(C100,customers!$A$2:$A$1001,customers!$C$2:$C$1001,,)=0,"",_xlfn.XLOOKUP(C100,customers!$A$2:$A$1001,customers!$C$2:$C$1001,,))</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cm="1">
        <f t="array" ref="N100">_xlfn.IFS(I100="Rob","Robusta",I100="Exc","Excelsa",I100="Ara","Arabica",I100="Lib","Liberica")</f>
        <v>Arabica</v>
      </c>
      <c r="O100" t="str" cm="1">
        <f t="array" ref="O100">_xlfn.IFS(J100="M","Medium",J100="L","Light",J100="D","Dark")</f>
        <v>Dark</v>
      </c>
      <c r="P100" t="str">
        <f>_xlfn.XLOOKUP(Orders[[#This Row],[Customer ID]],customers!$A$1:$A$1001,customers!$I$1:$I$1001,,0)</f>
        <v>No</v>
      </c>
    </row>
    <row r="101" spans="1:16" x14ac:dyDescent="0.25">
      <c r="A101" s="2" t="s">
        <v>1043</v>
      </c>
      <c r="B101" s="3">
        <v>44139</v>
      </c>
      <c r="C101" s="2" t="s">
        <v>1044</v>
      </c>
      <c r="D101" t="s">
        <v>6159</v>
      </c>
      <c r="E101" s="2">
        <v>3</v>
      </c>
      <c r="F101" s="2" t="str">
        <f>_xlfn.XLOOKUP(orders!C101,customers!$A$2:$A$1001,customers!$B$2:$B$1001)</f>
        <v>Aube Follett</v>
      </c>
      <c r="G101" s="2" t="str">
        <f>IF(_xlfn.XLOOKUP(C101,customers!$A$2:$A$1001,customers!$C$2:$C$1001,,)=0,"",_xlfn.XLOOKUP(C101,customers!$A$2:$A$1001,customers!$C$2:$C$1001,,))</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cm="1">
        <f t="array" ref="N101">_xlfn.IFS(I101="Rob","Robusta",I101="Exc","Excelsa",I101="Ara","Arabica",I101="Lib","Liberica")</f>
        <v>Liberica</v>
      </c>
      <c r="O101" t="str" cm="1">
        <f t="array" ref="O101">_xlfn.IFS(J101="M","Medium",J101="L","Light",J101="D","Dark")</f>
        <v>Medium</v>
      </c>
      <c r="P101" t="str">
        <f>_xlfn.XLOOKUP(Orders[[#This Row],[Customer ID]],customers!$A$1:$A$1001,customers!$I$1:$I$1001,,0)</f>
        <v>Yes</v>
      </c>
    </row>
    <row r="102" spans="1:16" x14ac:dyDescent="0.25">
      <c r="A102" s="2" t="s">
        <v>1048</v>
      </c>
      <c r="B102" s="3">
        <v>44291</v>
      </c>
      <c r="C102" s="2" t="s">
        <v>1049</v>
      </c>
      <c r="D102" t="s">
        <v>6167</v>
      </c>
      <c r="E102" s="2">
        <v>2</v>
      </c>
      <c r="F102" s="2" t="str">
        <f>_xlfn.XLOOKUP(orders!C102,customers!$A$2:$A$1001,customers!$B$2:$B$1001)</f>
        <v>Rudiger Di Bartolomeo</v>
      </c>
      <c r="G102" s="2" t="str">
        <f>IF(_xlfn.XLOOKUP(C102,customers!$A$2:$A$1001,customers!$C$2:$C$1001,,)=0,"",_xlfn.XLOOKUP(C102,customers!$A$2:$A$1001,customers!$C$2:$C$1001,,))</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cm="1">
        <f t="array" ref="N102">_xlfn.IFS(I102="Rob","Robusta",I102="Exc","Excelsa",I102="Ara","Arabica",I102="Lib","Liberica")</f>
        <v>Arabica</v>
      </c>
      <c r="O102" t="str" cm="1">
        <f t="array" ref="O102">_xlfn.IFS(J102="M","Medium",J102="L","Light",J102="D","Dark")</f>
        <v>Light</v>
      </c>
      <c r="P102" t="str">
        <f>_xlfn.XLOOKUP(Orders[[#This Row],[Customer ID]],customers!$A$1:$A$1001,customers!$I$1:$I$1001,,0)</f>
        <v>Yes</v>
      </c>
    </row>
    <row r="103" spans="1:16" x14ac:dyDescent="0.25">
      <c r="A103" s="2" t="s">
        <v>1053</v>
      </c>
      <c r="B103" s="3">
        <v>43891</v>
      </c>
      <c r="C103" s="2" t="s">
        <v>1054</v>
      </c>
      <c r="D103" t="s">
        <v>6165</v>
      </c>
      <c r="E103" s="2">
        <v>5</v>
      </c>
      <c r="F103" s="2" t="str">
        <f>_xlfn.XLOOKUP(orders!C103,customers!$A$2:$A$1001,customers!$B$2:$B$1001)</f>
        <v>Nickey Youles</v>
      </c>
      <c r="G103" s="2" t="str">
        <f>IF(_xlfn.XLOOKUP(C103,customers!$A$2:$A$1001,customers!$C$2:$C$1001,,)=0,"",_xlfn.XLOOKUP(C103,customers!$A$2:$A$1001,customers!$C$2:$C$1001,,))</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cm="1">
        <f t="array" ref="N103">_xlfn.IFS(I103="Rob","Robusta",I103="Exc","Excelsa",I103="Ara","Arabica",I103="Lib","Liberica")</f>
        <v>Liberica</v>
      </c>
      <c r="O103" t="str" cm="1">
        <f t="array" ref="O103">_xlfn.IFS(J103="M","Medium",J103="L","Light",J103="D","Dark")</f>
        <v>Dark</v>
      </c>
      <c r="P103" t="str">
        <f>_xlfn.XLOOKUP(Orders[[#This Row],[Customer ID]],customers!$A$1:$A$1001,customers!$I$1:$I$1001,,0)</f>
        <v>Yes</v>
      </c>
    </row>
    <row r="104" spans="1:16" x14ac:dyDescent="0.25">
      <c r="A104" s="2" t="s">
        <v>1059</v>
      </c>
      <c r="B104" s="3">
        <v>44488</v>
      </c>
      <c r="C104" s="2" t="s">
        <v>1060</v>
      </c>
      <c r="D104" t="s">
        <v>6143</v>
      </c>
      <c r="E104" s="2">
        <v>3</v>
      </c>
      <c r="F104" s="2" t="str">
        <f>_xlfn.XLOOKUP(orders!C104,customers!$A$2:$A$1001,customers!$B$2:$B$1001)</f>
        <v>Dyanna Aizikovitz</v>
      </c>
      <c r="G104" s="2" t="str">
        <f>IF(_xlfn.XLOOKUP(C104,customers!$A$2:$A$1001,customers!$C$2:$C$1001,,)=0,"",_xlfn.XLOOKUP(C104,customers!$A$2:$A$1001,customers!$C$2:$C$1001,,))</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cm="1">
        <f t="array" ref="N104">_xlfn.IFS(I104="Rob","Robusta",I104="Exc","Excelsa",I104="Ara","Arabica",I104="Lib","Liberica")</f>
        <v>Liberica</v>
      </c>
      <c r="O104" t="str" cm="1">
        <f t="array" ref="O104">_xlfn.IFS(J104="M","Medium",J104="L","Light",J104="D","Dark")</f>
        <v>Dark</v>
      </c>
      <c r="P104" t="str">
        <f>_xlfn.XLOOKUP(Orders[[#This Row],[Customer ID]],customers!$A$1:$A$1001,customers!$I$1:$I$1001,,0)</f>
        <v>Yes</v>
      </c>
    </row>
    <row r="105" spans="1:16" x14ac:dyDescent="0.25">
      <c r="A105" s="2" t="s">
        <v>1065</v>
      </c>
      <c r="B105" s="3">
        <v>44750</v>
      </c>
      <c r="C105" s="2" t="s">
        <v>1066</v>
      </c>
      <c r="D105" t="s">
        <v>6174</v>
      </c>
      <c r="E105" s="2">
        <v>4</v>
      </c>
      <c r="F105" s="2" t="str">
        <f>_xlfn.XLOOKUP(orders!C105,customers!$A$2:$A$1001,customers!$B$2:$B$1001)</f>
        <v>Bram Revel</v>
      </c>
      <c r="G105" s="2" t="str">
        <f>IF(_xlfn.XLOOKUP(C105,customers!$A$2:$A$1001,customers!$C$2:$C$1001,,)=0,"",_xlfn.XLOOKUP(C105,customers!$A$2:$A$1001,customers!$C$2:$C$1001,,))</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cm="1">
        <f t="array" ref="N105">_xlfn.IFS(I105="Rob","Robusta",I105="Exc","Excelsa",I105="Ara","Arabica",I105="Lib","Liberica")</f>
        <v>Robusta</v>
      </c>
      <c r="O105" t="str" cm="1">
        <f t="array" ref="O105">_xlfn.IFS(J105="M","Medium",J105="L","Light",J105="D","Dark")</f>
        <v>Medium</v>
      </c>
      <c r="P105" t="str">
        <f>_xlfn.XLOOKUP(Orders[[#This Row],[Customer ID]],customers!$A$1:$A$1001,customers!$I$1:$I$1001,,0)</f>
        <v>No</v>
      </c>
    </row>
    <row r="106" spans="1:16" x14ac:dyDescent="0.25">
      <c r="A106" s="2" t="s">
        <v>1071</v>
      </c>
      <c r="B106" s="3">
        <v>43694</v>
      </c>
      <c r="C106" s="2" t="s">
        <v>1072</v>
      </c>
      <c r="D106" t="s">
        <v>6162</v>
      </c>
      <c r="E106" s="2">
        <v>6</v>
      </c>
      <c r="F106" s="2" t="str">
        <f>_xlfn.XLOOKUP(orders!C106,customers!$A$2:$A$1001,customers!$B$2:$B$1001)</f>
        <v>Emiline Priddis</v>
      </c>
      <c r="G106" s="2" t="str">
        <f>IF(_xlfn.XLOOKUP(C106,customers!$A$2:$A$1001,customers!$C$2:$C$1001,,)=0,"",_xlfn.XLOOKUP(C106,customers!$A$2:$A$1001,customers!$C$2:$C$1001,,))</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cm="1">
        <f t="array" ref="N106">_xlfn.IFS(I106="Rob","Robusta",I106="Exc","Excelsa",I106="Ara","Arabica",I106="Lib","Liberica")</f>
        <v>Liberica</v>
      </c>
      <c r="O106" t="str" cm="1">
        <f t="array" ref="O106">_xlfn.IFS(J106="M","Medium",J106="L","Light",J106="D","Dark")</f>
        <v>Medium</v>
      </c>
      <c r="P106" t="str">
        <f>_xlfn.XLOOKUP(Orders[[#This Row],[Customer ID]],customers!$A$1:$A$1001,customers!$I$1:$I$1001,,0)</f>
        <v>No</v>
      </c>
    </row>
    <row r="107" spans="1:16" x14ac:dyDescent="0.25">
      <c r="A107" s="2" t="s">
        <v>1077</v>
      </c>
      <c r="B107" s="3">
        <v>43982</v>
      </c>
      <c r="C107" s="2" t="s">
        <v>1078</v>
      </c>
      <c r="D107" t="s">
        <v>6157</v>
      </c>
      <c r="E107" s="2">
        <v>6</v>
      </c>
      <c r="F107" s="2" t="str">
        <f>_xlfn.XLOOKUP(orders!C107,customers!$A$2:$A$1001,customers!$B$2:$B$1001)</f>
        <v>Queenie Veel</v>
      </c>
      <c r="G107" s="2" t="str">
        <f>IF(_xlfn.XLOOKUP(C107,customers!$A$2:$A$1001,customers!$C$2:$C$1001,,)=0,"",_xlfn.XLOOKUP(C107,customers!$A$2:$A$1001,customers!$C$2:$C$1001,,))</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cm="1">
        <f t="array" ref="N107">_xlfn.IFS(I107="Rob","Robusta",I107="Exc","Excelsa",I107="Ara","Arabica",I107="Lib","Liberica")</f>
        <v>Arabica</v>
      </c>
      <c r="O107" t="str" cm="1">
        <f t="array" ref="O107">_xlfn.IFS(J107="M","Medium",J107="L","Light",J107="D","Dark")</f>
        <v>Medium</v>
      </c>
      <c r="P107" t="str">
        <f>_xlfn.XLOOKUP(Orders[[#This Row],[Customer ID]],customers!$A$1:$A$1001,customers!$I$1:$I$1001,,0)</f>
        <v>Yes</v>
      </c>
    </row>
    <row r="108" spans="1:16" x14ac:dyDescent="0.25">
      <c r="A108" s="2" t="s">
        <v>1083</v>
      </c>
      <c r="B108" s="3">
        <v>43956</v>
      </c>
      <c r="C108" s="2" t="s">
        <v>1084</v>
      </c>
      <c r="D108" t="s">
        <v>6183</v>
      </c>
      <c r="E108" s="2">
        <v>2</v>
      </c>
      <c r="F108" s="2" t="str">
        <f>_xlfn.XLOOKUP(orders!C108,customers!$A$2:$A$1001,customers!$B$2:$B$1001)</f>
        <v>Lind Conyers</v>
      </c>
      <c r="G108" s="2" t="str">
        <f>IF(_xlfn.XLOOKUP(C108,customers!$A$2:$A$1001,customers!$C$2:$C$1001,,)=0,"",_xlfn.XLOOKUP(C108,customers!$A$2:$A$1001,customers!$C$2:$C$1001,,))</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cm="1">
        <f t="array" ref="N108">_xlfn.IFS(I108="Rob","Robusta",I108="Exc","Excelsa",I108="Ara","Arabica",I108="Lib","Liberica")</f>
        <v>Excelsa</v>
      </c>
      <c r="O108" t="str" cm="1">
        <f t="array" ref="O108">_xlfn.IFS(J108="M","Medium",J108="L","Light",J108="D","Dark")</f>
        <v>Dark</v>
      </c>
      <c r="P108" t="str">
        <f>_xlfn.XLOOKUP(Orders[[#This Row],[Customer ID]],customers!$A$1:$A$1001,customers!$I$1:$I$1001,,0)</f>
        <v>No</v>
      </c>
    </row>
    <row r="109" spans="1:16" x14ac:dyDescent="0.25">
      <c r="A109" s="2" t="s">
        <v>1089</v>
      </c>
      <c r="B109" s="3">
        <v>43569</v>
      </c>
      <c r="C109" s="2" t="s">
        <v>1090</v>
      </c>
      <c r="D109" t="s">
        <v>6146</v>
      </c>
      <c r="E109" s="2">
        <v>3</v>
      </c>
      <c r="F109" s="2" t="str">
        <f>_xlfn.XLOOKUP(orders!C109,customers!$A$2:$A$1001,customers!$B$2:$B$1001)</f>
        <v>Pen Wye</v>
      </c>
      <c r="G109" s="2" t="str">
        <f>IF(_xlfn.XLOOKUP(C109,customers!$A$2:$A$1001,customers!$C$2:$C$1001,,)=0,"",_xlfn.XLOOKUP(C109,customers!$A$2:$A$1001,customers!$C$2:$C$1001,,))</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cm="1">
        <f t="array" ref="N109">_xlfn.IFS(I109="Rob","Robusta",I109="Exc","Excelsa",I109="Ara","Arabica",I109="Lib","Liberica")</f>
        <v>Robusta</v>
      </c>
      <c r="O109" t="str" cm="1">
        <f t="array" ref="O109">_xlfn.IFS(J109="M","Medium",J109="L","Light",J109="D","Dark")</f>
        <v>Medium</v>
      </c>
      <c r="P109" t="str">
        <f>_xlfn.XLOOKUP(Orders[[#This Row],[Customer ID]],customers!$A$1:$A$1001,customers!$I$1:$I$1001,,0)</f>
        <v>Yes</v>
      </c>
    </row>
    <row r="110" spans="1:16" x14ac:dyDescent="0.25">
      <c r="A110" s="2" t="s">
        <v>1095</v>
      </c>
      <c r="B110" s="3">
        <v>44041</v>
      </c>
      <c r="C110" s="2" t="s">
        <v>1096</v>
      </c>
      <c r="D110" t="s">
        <v>6157</v>
      </c>
      <c r="E110" s="2">
        <v>4</v>
      </c>
      <c r="F110" s="2" t="str">
        <f>_xlfn.XLOOKUP(orders!C110,customers!$A$2:$A$1001,customers!$B$2:$B$1001)</f>
        <v>Isahella Hagland</v>
      </c>
      <c r="G110" s="2" t="str">
        <f>IF(_xlfn.XLOOKUP(C110,customers!$A$2:$A$1001,customers!$C$2:$C$1001,,)=0,"",_xlfn.XLOOKUP(C110,customers!$A$2:$A$1001,customers!$C$2:$C$1001,,))</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cm="1">
        <f t="array" ref="N110">_xlfn.IFS(I110="Rob","Robusta",I110="Exc","Excelsa",I110="Ara","Arabica",I110="Lib","Liberica")</f>
        <v>Arabica</v>
      </c>
      <c r="O110" t="str" cm="1">
        <f t="array" ref="O110">_xlfn.IFS(J110="M","Medium",J110="L","Light",J110="D","Dark")</f>
        <v>Medium</v>
      </c>
      <c r="P110" t="str">
        <f>_xlfn.XLOOKUP(Orders[[#This Row],[Customer ID]],customers!$A$1:$A$1001,customers!$I$1:$I$1001,,0)</f>
        <v>No</v>
      </c>
    </row>
    <row r="111" spans="1:16" x14ac:dyDescent="0.25">
      <c r="A111" s="2" t="s">
        <v>1100</v>
      </c>
      <c r="B111" s="3">
        <v>43811</v>
      </c>
      <c r="C111" s="2" t="s">
        <v>1101</v>
      </c>
      <c r="D111" t="s">
        <v>6169</v>
      </c>
      <c r="E111" s="2">
        <v>1</v>
      </c>
      <c r="F111" s="2" t="str">
        <f>_xlfn.XLOOKUP(orders!C111,customers!$A$2:$A$1001,customers!$B$2:$B$1001)</f>
        <v>Terry Sheryn</v>
      </c>
      <c r="G111" s="2" t="str">
        <f>IF(_xlfn.XLOOKUP(C111,customers!$A$2:$A$1001,customers!$C$2:$C$1001,,)=0,"",_xlfn.XLOOKUP(C111,customers!$A$2:$A$1001,customers!$C$2:$C$1001,,))</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cm="1">
        <f t="array" ref="N111">_xlfn.IFS(I111="Rob","Robusta",I111="Exc","Excelsa",I111="Ara","Arabica",I111="Lib","Liberica")</f>
        <v>Liberica</v>
      </c>
      <c r="O111" t="str" cm="1">
        <f t="array" ref="O111">_xlfn.IFS(J111="M","Medium",J111="L","Light",J111="D","Dark")</f>
        <v>Dark</v>
      </c>
      <c r="P111" t="str">
        <f>_xlfn.XLOOKUP(Orders[[#This Row],[Customer ID]],customers!$A$1:$A$1001,customers!$I$1:$I$1001,,0)</f>
        <v>Yes</v>
      </c>
    </row>
    <row r="112" spans="1:16" x14ac:dyDescent="0.25">
      <c r="A112" s="2" t="s">
        <v>1106</v>
      </c>
      <c r="B112" s="3">
        <v>44727</v>
      </c>
      <c r="C112" s="2" t="s">
        <v>1107</v>
      </c>
      <c r="D112" t="s">
        <v>6184</v>
      </c>
      <c r="E112" s="2">
        <v>3</v>
      </c>
      <c r="F112" s="2" t="str">
        <f>_xlfn.XLOOKUP(orders!C112,customers!$A$2:$A$1001,customers!$B$2:$B$1001)</f>
        <v>Marie-jeanne Redgrave</v>
      </c>
      <c r="G112" s="2" t="str">
        <f>IF(_xlfn.XLOOKUP(C112,customers!$A$2:$A$1001,customers!$C$2:$C$1001,,)=0,"",_xlfn.XLOOKUP(C112,customers!$A$2:$A$1001,customers!$C$2:$C$1001,,))</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cm="1">
        <f t="array" ref="N112">_xlfn.IFS(I112="Rob","Robusta",I112="Exc","Excelsa",I112="Ara","Arabica",I112="Lib","Liberica")</f>
        <v>Excelsa</v>
      </c>
      <c r="O112" t="str" cm="1">
        <f t="array" ref="O112">_xlfn.IFS(J112="M","Medium",J112="L","Light",J112="D","Dark")</f>
        <v>Light</v>
      </c>
      <c r="P112" t="str">
        <f>_xlfn.XLOOKUP(Orders[[#This Row],[Customer ID]],customers!$A$1:$A$1001,customers!$I$1:$I$1001,,0)</f>
        <v>Yes</v>
      </c>
    </row>
    <row r="113" spans="1:16" x14ac:dyDescent="0.25">
      <c r="A113" s="2" t="s">
        <v>1112</v>
      </c>
      <c r="B113" s="3">
        <v>43642</v>
      </c>
      <c r="C113" s="2" t="s">
        <v>1113</v>
      </c>
      <c r="D113" t="s">
        <v>6172</v>
      </c>
      <c r="E113" s="2">
        <v>5</v>
      </c>
      <c r="F113" s="2" t="str">
        <f>_xlfn.XLOOKUP(orders!C113,customers!$A$2:$A$1001,customers!$B$2:$B$1001)</f>
        <v>Betty Fominov</v>
      </c>
      <c r="G113" s="2" t="str">
        <f>IF(_xlfn.XLOOKUP(C113,customers!$A$2:$A$1001,customers!$C$2:$C$1001,,)=0,"",_xlfn.XLOOKUP(C113,customers!$A$2:$A$1001,customers!$C$2:$C$1001,,))</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cm="1">
        <f t="array" ref="N113">_xlfn.IFS(I113="Rob","Robusta",I113="Exc","Excelsa",I113="Ara","Arabica",I113="Lib","Liberica")</f>
        <v>Robusta</v>
      </c>
      <c r="O113" t="str" cm="1">
        <f t="array" ref="O113">_xlfn.IFS(J113="M","Medium",J113="L","Light",J113="D","Dark")</f>
        <v>Dark</v>
      </c>
      <c r="P113" t="str">
        <f>_xlfn.XLOOKUP(Orders[[#This Row],[Customer ID]],customers!$A$1:$A$1001,customers!$I$1:$I$1001,,0)</f>
        <v>No</v>
      </c>
    </row>
    <row r="114" spans="1:16" x14ac:dyDescent="0.25">
      <c r="A114" s="2" t="s">
        <v>1117</v>
      </c>
      <c r="B114" s="3">
        <v>44481</v>
      </c>
      <c r="C114" s="2" t="s">
        <v>1118</v>
      </c>
      <c r="D114" t="s">
        <v>6155</v>
      </c>
      <c r="E114" s="2">
        <v>1</v>
      </c>
      <c r="F114" s="2" t="str">
        <f>_xlfn.XLOOKUP(orders!C114,customers!$A$2:$A$1001,customers!$B$2:$B$1001)</f>
        <v>Shawnee Critchlow</v>
      </c>
      <c r="G114" s="2" t="str">
        <f>IF(_xlfn.XLOOKUP(C114,customers!$A$2:$A$1001,customers!$C$2:$C$1001,,)=0,"",_xlfn.XLOOKUP(C114,customers!$A$2:$A$1001,customers!$C$2:$C$1001,,))</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cm="1">
        <f t="array" ref="N114">_xlfn.IFS(I114="Rob","Robusta",I114="Exc","Excelsa",I114="Ara","Arabica",I114="Lib","Liberica")</f>
        <v>Arabica</v>
      </c>
      <c r="O114" t="str" cm="1">
        <f t="array" ref="O114">_xlfn.IFS(J114="M","Medium",J114="L","Light",J114="D","Dark")</f>
        <v>Medium</v>
      </c>
      <c r="P114" t="str">
        <f>_xlfn.XLOOKUP(Orders[[#This Row],[Customer ID]],customers!$A$1:$A$1001,customers!$I$1:$I$1001,,0)</f>
        <v>No</v>
      </c>
    </row>
    <row r="115" spans="1:16" x14ac:dyDescent="0.25">
      <c r="A115" s="2" t="s">
        <v>1123</v>
      </c>
      <c r="B115" s="3">
        <v>43556</v>
      </c>
      <c r="C115" s="2" t="s">
        <v>1124</v>
      </c>
      <c r="D115" t="s">
        <v>6162</v>
      </c>
      <c r="E115" s="2">
        <v>1</v>
      </c>
      <c r="F115" s="2" t="str">
        <f>_xlfn.XLOOKUP(orders!C115,customers!$A$2:$A$1001,customers!$B$2:$B$1001)</f>
        <v>Merrel Steptow</v>
      </c>
      <c r="G115" s="2" t="str">
        <f>IF(_xlfn.XLOOKUP(C115,customers!$A$2:$A$1001,customers!$C$2:$C$1001,,)=0,"",_xlfn.XLOOKUP(C115,customers!$A$2:$A$1001,customers!$C$2:$C$1001,,))</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cm="1">
        <f t="array" ref="N115">_xlfn.IFS(I115="Rob","Robusta",I115="Exc","Excelsa",I115="Ara","Arabica",I115="Lib","Liberica")</f>
        <v>Liberica</v>
      </c>
      <c r="O115" t="str" cm="1">
        <f t="array" ref="O115">_xlfn.IFS(J115="M","Medium",J115="L","Light",J115="D","Dark")</f>
        <v>Medium</v>
      </c>
      <c r="P115" t="str">
        <f>_xlfn.XLOOKUP(Orders[[#This Row],[Customer ID]],customers!$A$1:$A$1001,customers!$I$1:$I$1001,,0)</f>
        <v>No</v>
      </c>
    </row>
    <row r="116" spans="1:16" x14ac:dyDescent="0.25">
      <c r="A116" s="2" t="s">
        <v>1129</v>
      </c>
      <c r="B116" s="3">
        <v>44265</v>
      </c>
      <c r="C116" s="2" t="s">
        <v>1130</v>
      </c>
      <c r="D116" t="s">
        <v>6178</v>
      </c>
      <c r="E116" s="2">
        <v>4</v>
      </c>
      <c r="F116" s="2" t="str">
        <f>_xlfn.XLOOKUP(orders!C116,customers!$A$2:$A$1001,customers!$B$2:$B$1001)</f>
        <v>Carmina Hubbuck</v>
      </c>
      <c r="G116" s="2" t="str">
        <f>IF(_xlfn.XLOOKUP(C116,customers!$A$2:$A$1001,customers!$C$2:$C$1001,,)=0,"",_xlfn.XLOOKUP(C116,customers!$A$2:$A$1001,customers!$C$2:$C$1001,,))</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cm="1">
        <f t="array" ref="N116">_xlfn.IFS(I116="Rob","Robusta",I116="Exc","Excelsa",I116="Ara","Arabica",I116="Lib","Liberica")</f>
        <v>Robusta</v>
      </c>
      <c r="O116" t="str" cm="1">
        <f t="array" ref="O116">_xlfn.IFS(J116="M","Medium",J116="L","Light",J116="D","Dark")</f>
        <v>Light</v>
      </c>
      <c r="P116" t="str">
        <f>_xlfn.XLOOKUP(Orders[[#This Row],[Customer ID]],customers!$A$1:$A$1001,customers!$I$1:$I$1001,,0)</f>
        <v>No</v>
      </c>
    </row>
    <row r="117" spans="1:16" x14ac:dyDescent="0.25">
      <c r="A117" s="2" t="s">
        <v>1134</v>
      </c>
      <c r="B117" s="3">
        <v>43693</v>
      </c>
      <c r="C117" s="2" t="s">
        <v>1135</v>
      </c>
      <c r="D117" t="s">
        <v>6170</v>
      </c>
      <c r="E117" s="2">
        <v>1</v>
      </c>
      <c r="F117" s="2" t="str">
        <f>_xlfn.XLOOKUP(orders!C117,customers!$A$2:$A$1001,customers!$B$2:$B$1001)</f>
        <v>Ingeberg Mulliner</v>
      </c>
      <c r="G117" s="2" t="str">
        <f>IF(_xlfn.XLOOKUP(C117,customers!$A$2:$A$1001,customers!$C$2:$C$1001,,)=0,"",_xlfn.XLOOKUP(C117,customers!$A$2:$A$1001,customers!$C$2:$C$1001,,))</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cm="1">
        <f t="array" ref="N117">_xlfn.IFS(I117="Rob","Robusta",I117="Exc","Excelsa",I117="Ara","Arabica",I117="Lib","Liberica")</f>
        <v>Liberica</v>
      </c>
      <c r="O117" t="str" cm="1">
        <f t="array" ref="O117">_xlfn.IFS(J117="M","Medium",J117="L","Light",J117="D","Dark")</f>
        <v>Light</v>
      </c>
      <c r="P117" t="str">
        <f>_xlfn.XLOOKUP(Orders[[#This Row],[Customer ID]],customers!$A$1:$A$1001,customers!$I$1:$I$1001,,0)</f>
        <v>No</v>
      </c>
    </row>
    <row r="118" spans="1:16" x14ac:dyDescent="0.25">
      <c r="A118" s="2" t="s">
        <v>1140</v>
      </c>
      <c r="B118" s="3">
        <v>44054</v>
      </c>
      <c r="C118" s="2" t="s">
        <v>1141</v>
      </c>
      <c r="D118" t="s">
        <v>6145</v>
      </c>
      <c r="E118" s="2">
        <v>4</v>
      </c>
      <c r="F118" s="2" t="str">
        <f>_xlfn.XLOOKUP(orders!C118,customers!$A$2:$A$1001,customers!$B$2:$B$1001)</f>
        <v>Geneva Standley</v>
      </c>
      <c r="G118" s="2" t="str">
        <f>IF(_xlfn.XLOOKUP(C118,customers!$A$2:$A$1001,customers!$C$2:$C$1001,,)=0,"",_xlfn.XLOOKUP(C118,customers!$A$2:$A$1001,customers!$C$2:$C$1001,,))</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cm="1">
        <f t="array" ref="N118">_xlfn.IFS(I118="Rob","Robusta",I118="Exc","Excelsa",I118="Ara","Arabica",I118="Lib","Liberica")</f>
        <v>Liberica</v>
      </c>
      <c r="O118" t="str" cm="1">
        <f t="array" ref="O118">_xlfn.IFS(J118="M","Medium",J118="L","Light",J118="D","Dark")</f>
        <v>Light</v>
      </c>
      <c r="P118" t="str">
        <f>_xlfn.XLOOKUP(Orders[[#This Row],[Customer ID]],customers!$A$1:$A$1001,customers!$I$1:$I$1001,,0)</f>
        <v>Yes</v>
      </c>
    </row>
    <row r="119" spans="1:16" x14ac:dyDescent="0.25">
      <c r="A119" s="2" t="s">
        <v>1146</v>
      </c>
      <c r="B119" s="3">
        <v>44656</v>
      </c>
      <c r="C119" s="2" t="s">
        <v>1147</v>
      </c>
      <c r="D119" t="s">
        <v>6161</v>
      </c>
      <c r="E119" s="2">
        <v>4</v>
      </c>
      <c r="F119" s="2" t="str">
        <f>_xlfn.XLOOKUP(orders!C119,customers!$A$2:$A$1001,customers!$B$2:$B$1001)</f>
        <v>Brook Drage</v>
      </c>
      <c r="G119" s="2" t="str">
        <f>IF(_xlfn.XLOOKUP(C119,customers!$A$2:$A$1001,customers!$C$2:$C$1001,,)=0,"",_xlfn.XLOOKUP(C119,customers!$A$2:$A$1001,customers!$C$2:$C$1001,,))</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cm="1">
        <f t="array" ref="N119">_xlfn.IFS(I119="Rob","Robusta",I119="Exc","Excelsa",I119="Ara","Arabica",I119="Lib","Liberica")</f>
        <v>Liberica</v>
      </c>
      <c r="O119" t="str" cm="1">
        <f t="array" ref="O119">_xlfn.IFS(J119="M","Medium",J119="L","Light",J119="D","Dark")</f>
        <v>Light</v>
      </c>
      <c r="P119" t="str">
        <f>_xlfn.XLOOKUP(Orders[[#This Row],[Customer ID]],customers!$A$1:$A$1001,customers!$I$1:$I$1001,,0)</f>
        <v>No</v>
      </c>
    </row>
    <row r="120" spans="1:16" x14ac:dyDescent="0.25">
      <c r="A120" s="2" t="s">
        <v>1152</v>
      </c>
      <c r="B120" s="3">
        <v>43760</v>
      </c>
      <c r="C120" s="2" t="s">
        <v>1153</v>
      </c>
      <c r="D120" t="s">
        <v>6144</v>
      </c>
      <c r="E120" s="2">
        <v>3</v>
      </c>
      <c r="F120" s="2" t="str">
        <f>_xlfn.XLOOKUP(orders!C120,customers!$A$2:$A$1001,customers!$B$2:$B$1001)</f>
        <v>Muffin Yallop</v>
      </c>
      <c r="G120" s="2" t="str">
        <f>IF(_xlfn.XLOOKUP(C120,customers!$A$2:$A$1001,customers!$C$2:$C$1001,,)=0,"",_xlfn.XLOOKUP(C120,customers!$A$2:$A$1001,customers!$C$2:$C$1001,,))</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cm="1">
        <f t="array" ref="N120">_xlfn.IFS(I120="Rob","Robusta",I120="Exc","Excelsa",I120="Ara","Arabica",I120="Lib","Liberica")</f>
        <v>Excelsa</v>
      </c>
      <c r="O120" t="str" cm="1">
        <f t="array" ref="O120">_xlfn.IFS(J120="M","Medium",J120="L","Light",J120="D","Dark")</f>
        <v>Dark</v>
      </c>
      <c r="P120" t="str">
        <f>_xlfn.XLOOKUP(Orders[[#This Row],[Customer ID]],customers!$A$1:$A$1001,customers!$I$1:$I$1001,,0)</f>
        <v>Yes</v>
      </c>
    </row>
    <row r="121" spans="1:16" x14ac:dyDescent="0.25">
      <c r="A121" s="2" t="s">
        <v>1158</v>
      </c>
      <c r="B121" s="3">
        <v>44471</v>
      </c>
      <c r="C121" s="2" t="s">
        <v>1159</v>
      </c>
      <c r="D121" t="s">
        <v>6156</v>
      </c>
      <c r="E121" s="2">
        <v>1</v>
      </c>
      <c r="F121" s="2" t="str">
        <f>_xlfn.XLOOKUP(orders!C121,customers!$A$2:$A$1001,customers!$B$2:$B$1001)</f>
        <v>Cordi Switsur</v>
      </c>
      <c r="G121" s="2" t="str">
        <f>IF(_xlfn.XLOOKUP(C121,customers!$A$2:$A$1001,customers!$C$2:$C$1001,,)=0,"",_xlfn.XLOOKUP(C121,customers!$A$2:$A$1001,customers!$C$2:$C$1001,,))</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cm="1">
        <f t="array" ref="N121">_xlfn.IFS(I121="Rob","Robusta",I121="Exc","Excelsa",I121="Ara","Arabica",I121="Lib","Liberica")</f>
        <v>Excelsa</v>
      </c>
      <c r="O121" t="str" cm="1">
        <f t="array" ref="O121">_xlfn.IFS(J121="M","Medium",J121="L","Light",J121="D","Dark")</f>
        <v>Medium</v>
      </c>
      <c r="P121" t="str">
        <f>_xlfn.XLOOKUP(Orders[[#This Row],[Customer ID]],customers!$A$1:$A$1001,customers!$I$1:$I$1001,,0)</f>
        <v>No</v>
      </c>
    </row>
    <row r="122" spans="1:16" x14ac:dyDescent="0.25">
      <c r="A122" s="2" t="s">
        <v>1158</v>
      </c>
      <c r="B122" s="3">
        <v>44471</v>
      </c>
      <c r="C122" s="2" t="s">
        <v>1159</v>
      </c>
      <c r="D122" t="s">
        <v>6167</v>
      </c>
      <c r="E122" s="2">
        <v>1</v>
      </c>
      <c r="F122" s="2" t="str">
        <f>_xlfn.XLOOKUP(orders!C122,customers!$A$2:$A$1001,customers!$B$2:$B$1001)</f>
        <v>Cordi Switsur</v>
      </c>
      <c r="G122" s="2" t="str">
        <f>IF(_xlfn.XLOOKUP(C122,customers!$A$2:$A$1001,customers!$C$2:$C$1001,,)=0,"",_xlfn.XLOOKUP(C122,customers!$A$2:$A$1001,customers!$C$2:$C$1001,,))</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cm="1">
        <f t="array" ref="N122">_xlfn.IFS(I122="Rob","Robusta",I122="Exc","Excelsa",I122="Ara","Arabica",I122="Lib","Liberica")</f>
        <v>Arabica</v>
      </c>
      <c r="O122" t="str" cm="1">
        <f t="array" ref="O122">_xlfn.IFS(J122="M","Medium",J122="L","Light",J122="D","Dark")</f>
        <v>Light</v>
      </c>
      <c r="P122" t="str">
        <f>_xlfn.XLOOKUP(Orders[[#This Row],[Customer ID]],customers!$A$1:$A$1001,customers!$I$1:$I$1001,,0)</f>
        <v>No</v>
      </c>
    </row>
    <row r="123" spans="1:16" x14ac:dyDescent="0.25">
      <c r="A123" s="2" t="s">
        <v>1158</v>
      </c>
      <c r="B123" s="3">
        <v>44471</v>
      </c>
      <c r="C123" s="2" t="s">
        <v>1159</v>
      </c>
      <c r="D123" t="s">
        <v>6141</v>
      </c>
      <c r="E123" s="2">
        <v>5</v>
      </c>
      <c r="F123" s="2" t="str">
        <f>_xlfn.XLOOKUP(orders!C123,customers!$A$2:$A$1001,customers!$B$2:$B$1001)</f>
        <v>Cordi Switsur</v>
      </c>
      <c r="G123" s="2" t="str">
        <f>IF(_xlfn.XLOOKUP(C123,customers!$A$2:$A$1001,customers!$C$2:$C$1001,,)=0,"",_xlfn.XLOOKUP(C123,customers!$A$2:$A$1001,customers!$C$2:$C$1001,,))</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cm="1">
        <f t="array" ref="N123">_xlfn.IFS(I123="Rob","Robusta",I123="Exc","Excelsa",I123="Ara","Arabica",I123="Lib","Liberica")</f>
        <v>Excelsa</v>
      </c>
      <c r="O123" t="str" cm="1">
        <f t="array" ref="O123">_xlfn.IFS(J123="M","Medium",J123="L","Light",J123="D","Dark")</f>
        <v>Medium</v>
      </c>
      <c r="P123" t="str">
        <f>_xlfn.XLOOKUP(Orders[[#This Row],[Customer ID]],customers!$A$1:$A$1001,customers!$I$1:$I$1001,,0)</f>
        <v>No</v>
      </c>
    </row>
    <row r="124" spans="1:16" x14ac:dyDescent="0.25">
      <c r="A124" s="2" t="s">
        <v>1174</v>
      </c>
      <c r="B124" s="3">
        <v>44268</v>
      </c>
      <c r="C124" s="2" t="s">
        <v>1175</v>
      </c>
      <c r="D124" t="s">
        <v>6158</v>
      </c>
      <c r="E124" s="2">
        <v>4</v>
      </c>
      <c r="F124" s="2" t="str">
        <f>_xlfn.XLOOKUP(orders!C124,customers!$A$2:$A$1001,customers!$B$2:$B$1001)</f>
        <v>Mahala Ludwell</v>
      </c>
      <c r="G124" s="2" t="str">
        <f>IF(_xlfn.XLOOKUP(C124,customers!$A$2:$A$1001,customers!$C$2:$C$1001,,)=0,"",_xlfn.XLOOKUP(C124,customers!$A$2:$A$1001,customers!$C$2:$C$1001,,))</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cm="1">
        <f t="array" ref="N124">_xlfn.IFS(I124="Rob","Robusta",I124="Exc","Excelsa",I124="Ara","Arabica",I124="Lib","Liberica")</f>
        <v>Arabica</v>
      </c>
      <c r="O124" t="str" cm="1">
        <f t="array" ref="O124">_xlfn.IFS(J124="M","Medium",J124="L","Light",J124="D","Dark")</f>
        <v>Dark</v>
      </c>
      <c r="P124" t="str">
        <f>_xlfn.XLOOKUP(Orders[[#This Row],[Customer ID]],customers!$A$1:$A$1001,customers!$I$1:$I$1001,,0)</f>
        <v>Yes</v>
      </c>
    </row>
    <row r="125" spans="1:16" x14ac:dyDescent="0.25">
      <c r="A125" s="2" t="s">
        <v>1180</v>
      </c>
      <c r="B125" s="3">
        <v>44724</v>
      </c>
      <c r="C125" s="2" t="s">
        <v>1181</v>
      </c>
      <c r="D125" t="s">
        <v>6164</v>
      </c>
      <c r="E125" s="2">
        <v>4</v>
      </c>
      <c r="F125" s="2" t="str">
        <f>_xlfn.XLOOKUP(orders!C125,customers!$A$2:$A$1001,customers!$B$2:$B$1001)</f>
        <v>Doll Beauchamp</v>
      </c>
      <c r="G125" s="2" t="str">
        <f>IF(_xlfn.XLOOKUP(C125,customers!$A$2:$A$1001,customers!$C$2:$C$1001,,)=0,"",_xlfn.XLOOKUP(C125,customers!$A$2:$A$1001,customers!$C$2:$C$1001,,))</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cm="1">
        <f t="array" ref="N125">_xlfn.IFS(I125="Rob","Robusta",I125="Exc","Excelsa",I125="Ara","Arabica",I125="Lib","Liberica")</f>
        <v>Liberica</v>
      </c>
      <c r="O125" t="str" cm="1">
        <f t="array" ref="O125">_xlfn.IFS(J125="M","Medium",J125="L","Light",J125="D","Dark")</f>
        <v>Light</v>
      </c>
      <c r="P125" t="str">
        <f>_xlfn.XLOOKUP(Orders[[#This Row],[Customer ID]],customers!$A$1:$A$1001,customers!$I$1:$I$1001,,0)</f>
        <v>No</v>
      </c>
    </row>
    <row r="126" spans="1:16" x14ac:dyDescent="0.25">
      <c r="A126" s="2" t="s">
        <v>1186</v>
      </c>
      <c r="B126" s="3">
        <v>43582</v>
      </c>
      <c r="C126" s="2" t="s">
        <v>1187</v>
      </c>
      <c r="D126" t="s">
        <v>6159</v>
      </c>
      <c r="E126" s="2">
        <v>5</v>
      </c>
      <c r="F126" s="2" t="str">
        <f>_xlfn.XLOOKUP(orders!C126,customers!$A$2:$A$1001,customers!$B$2:$B$1001)</f>
        <v>Stanford Rodliff</v>
      </c>
      <c r="G126" s="2" t="str">
        <f>IF(_xlfn.XLOOKUP(C126,customers!$A$2:$A$1001,customers!$C$2:$C$1001,,)=0,"",_xlfn.XLOOKUP(C126,customers!$A$2:$A$1001,customers!$C$2:$C$1001,,))</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cm="1">
        <f t="array" ref="N126">_xlfn.IFS(I126="Rob","Robusta",I126="Exc","Excelsa",I126="Ara","Arabica",I126="Lib","Liberica")</f>
        <v>Liberica</v>
      </c>
      <c r="O126" t="str" cm="1">
        <f t="array" ref="O126">_xlfn.IFS(J126="M","Medium",J126="L","Light",J126="D","Dark")</f>
        <v>Medium</v>
      </c>
      <c r="P126" t="str">
        <f>_xlfn.XLOOKUP(Orders[[#This Row],[Customer ID]],customers!$A$1:$A$1001,customers!$I$1:$I$1001,,0)</f>
        <v>Yes</v>
      </c>
    </row>
    <row r="127" spans="1:16" x14ac:dyDescent="0.25">
      <c r="A127" s="2" t="s">
        <v>1192</v>
      </c>
      <c r="B127" s="3">
        <v>43608</v>
      </c>
      <c r="C127" s="2" t="s">
        <v>1193</v>
      </c>
      <c r="D127" t="s">
        <v>6160</v>
      </c>
      <c r="E127" s="2">
        <v>3</v>
      </c>
      <c r="F127" s="2" t="str">
        <f>_xlfn.XLOOKUP(orders!C127,customers!$A$2:$A$1001,customers!$B$2:$B$1001)</f>
        <v>Stevana Woodham</v>
      </c>
      <c r="G127" s="2" t="str">
        <f>IF(_xlfn.XLOOKUP(C127,customers!$A$2:$A$1001,customers!$C$2:$C$1001,,)=0,"",_xlfn.XLOOKUP(C127,customers!$A$2:$A$1001,customers!$C$2:$C$1001,,))</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cm="1">
        <f t="array" ref="N127">_xlfn.IFS(I127="Rob","Robusta",I127="Exc","Excelsa",I127="Ara","Arabica",I127="Lib","Liberica")</f>
        <v>Liberica</v>
      </c>
      <c r="O127" t="str" cm="1">
        <f t="array" ref="O127">_xlfn.IFS(J127="M","Medium",J127="L","Light",J127="D","Dark")</f>
        <v>Medium</v>
      </c>
      <c r="P127" t="str">
        <f>_xlfn.XLOOKUP(Orders[[#This Row],[Customer ID]],customers!$A$1:$A$1001,customers!$I$1:$I$1001,,0)</f>
        <v>Yes</v>
      </c>
    </row>
    <row r="128" spans="1:16" x14ac:dyDescent="0.25">
      <c r="A128" s="2" t="s">
        <v>1198</v>
      </c>
      <c r="B128" s="3">
        <v>44026</v>
      </c>
      <c r="C128" s="2" t="s">
        <v>1199</v>
      </c>
      <c r="D128" t="s">
        <v>6155</v>
      </c>
      <c r="E128" s="2">
        <v>1</v>
      </c>
      <c r="F128" s="2" t="str">
        <f>_xlfn.XLOOKUP(orders!C128,customers!$A$2:$A$1001,customers!$B$2:$B$1001)</f>
        <v>Hewet Synnot</v>
      </c>
      <c r="G128" s="2" t="str">
        <f>IF(_xlfn.XLOOKUP(C128,customers!$A$2:$A$1001,customers!$C$2:$C$1001,,)=0,"",_xlfn.XLOOKUP(C128,customers!$A$2:$A$1001,customers!$C$2:$C$1001,,))</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cm="1">
        <f t="array" ref="N128">_xlfn.IFS(I128="Rob","Robusta",I128="Exc","Excelsa",I128="Ara","Arabica",I128="Lib","Liberica")</f>
        <v>Arabica</v>
      </c>
      <c r="O128" t="str" cm="1">
        <f t="array" ref="O128">_xlfn.IFS(J128="M","Medium",J128="L","Light",J128="D","Dark")</f>
        <v>Medium</v>
      </c>
      <c r="P128" t="str">
        <f>_xlfn.XLOOKUP(Orders[[#This Row],[Customer ID]],customers!$A$1:$A$1001,customers!$I$1:$I$1001,,0)</f>
        <v>No</v>
      </c>
    </row>
    <row r="129" spans="1:16" x14ac:dyDescent="0.25">
      <c r="A129" s="2" t="s">
        <v>1204</v>
      </c>
      <c r="B129" s="3">
        <v>44510</v>
      </c>
      <c r="C129" s="2" t="s">
        <v>1205</v>
      </c>
      <c r="D129" t="s">
        <v>6143</v>
      </c>
      <c r="E129" s="2">
        <v>6</v>
      </c>
      <c r="F129" s="2" t="str">
        <f>_xlfn.XLOOKUP(orders!C129,customers!$A$2:$A$1001,customers!$B$2:$B$1001)</f>
        <v>Raleigh Lepere</v>
      </c>
      <c r="G129" s="2" t="str">
        <f>IF(_xlfn.XLOOKUP(C129,customers!$A$2:$A$1001,customers!$C$2:$C$1001,,)=0,"",_xlfn.XLOOKUP(C129,customers!$A$2:$A$1001,customers!$C$2:$C$1001,,))</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cm="1">
        <f t="array" ref="N129">_xlfn.IFS(I129="Rob","Robusta",I129="Exc","Excelsa",I129="Ara","Arabica",I129="Lib","Liberica")</f>
        <v>Liberica</v>
      </c>
      <c r="O129" t="str" cm="1">
        <f t="array" ref="O129">_xlfn.IFS(J129="M","Medium",J129="L","Light",J129="D","Dark")</f>
        <v>Dark</v>
      </c>
      <c r="P129" t="str">
        <f>_xlfn.XLOOKUP(Orders[[#This Row],[Customer ID]],customers!$A$1:$A$1001,customers!$I$1:$I$1001,,0)</f>
        <v>No</v>
      </c>
    </row>
    <row r="130" spans="1:16" x14ac:dyDescent="0.25">
      <c r="A130" s="2" t="s">
        <v>1210</v>
      </c>
      <c r="B130" s="3">
        <v>44439</v>
      </c>
      <c r="C130" s="2" t="s">
        <v>1211</v>
      </c>
      <c r="D130" t="s">
        <v>6157</v>
      </c>
      <c r="E130" s="2">
        <v>1</v>
      </c>
      <c r="F130" s="2" t="str">
        <f>_xlfn.XLOOKUP(orders!C130,customers!$A$2:$A$1001,customers!$B$2:$B$1001)</f>
        <v>Timofei Woofinden</v>
      </c>
      <c r="G130" s="2" t="str">
        <f>IF(_xlfn.XLOOKUP(C130,customers!$A$2:$A$1001,customers!$C$2:$C$1001,,)=0,"",_xlfn.XLOOKUP(C130,customers!$A$2:$A$1001,customers!$C$2:$C$1001,,))</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cm="1">
        <f t="array" ref="N130">_xlfn.IFS(I130="Rob","Robusta",I130="Exc","Excelsa",I130="Ara","Arabica",I130="Lib","Liberica")</f>
        <v>Arabica</v>
      </c>
      <c r="O130" t="str" cm="1">
        <f t="array" ref="O130">_xlfn.IFS(J130="M","Medium",J130="L","Light",J130="D","Dark")</f>
        <v>Medium</v>
      </c>
      <c r="P130" t="str">
        <f>_xlfn.XLOOKUP(Orders[[#This Row],[Customer ID]],customers!$A$1:$A$1001,customers!$I$1:$I$1001,,0)</f>
        <v>No</v>
      </c>
    </row>
    <row r="131" spans="1:16" x14ac:dyDescent="0.25">
      <c r="A131" s="2" t="s">
        <v>1216</v>
      </c>
      <c r="B131" s="3">
        <v>43652</v>
      </c>
      <c r="C131" s="2" t="s">
        <v>1217</v>
      </c>
      <c r="D131" t="s">
        <v>6183</v>
      </c>
      <c r="E131" s="2">
        <v>1</v>
      </c>
      <c r="F131" s="2" t="str">
        <f>_xlfn.XLOOKUP(orders!C131,customers!$A$2:$A$1001,customers!$B$2:$B$1001)</f>
        <v>Evelina Dacca</v>
      </c>
      <c r="G131" s="2" t="str">
        <f>IF(_xlfn.XLOOKUP(C131,customers!$A$2:$A$1001,customers!$C$2:$C$1001,,)=0,"",_xlfn.XLOOKUP(C131,customers!$A$2:$A$1001,customers!$C$2:$C$1001,,))</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L131*E131</f>
        <v>12.15</v>
      </c>
      <c r="N131" t="str" cm="1">
        <f t="array" ref="N131">_xlfn.IFS(I131="Rob","Robusta",I131="Exc","Excelsa",I131="Ara","Arabica",I131="Lib","Liberica")</f>
        <v>Excelsa</v>
      </c>
      <c r="O131" t="str" cm="1">
        <f t="array" ref="O131">_xlfn.IFS(J131="M","Medium",J131="L","Light",J131="D","Dark")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_xlfn.XLOOKUP(orders!C132,customers!$A$2:$A$1001,customers!$B$2:$B$1001)</f>
        <v>Bidget Tremellier</v>
      </c>
      <c r="G132" s="2" t="str">
        <f>IF(_xlfn.XLOOKUP(C132,customers!$A$2:$A$1001,customers!$C$2:$C$1001,,)=0,"",_xlfn.XLOOKUP(C132,customers!$A$2:$A$1001,customers!$C$2:$C$1001,,))</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cm="1">
        <f t="array" ref="N132">_xlfn.IFS(I132="Rob","Robusta",I132="Exc","Excelsa",I132="Ara","Arabica",I132="Lib","Liberica")</f>
        <v>Arabica</v>
      </c>
      <c r="O132" t="str" cm="1">
        <f t="array" ref="O132">_xlfn.IFS(J132="M","Medium",J132="L","Light",J132="D","Dark")</f>
        <v>Light</v>
      </c>
      <c r="P132" t="str">
        <f>_xlfn.XLOOKUP(Orders[[#This Row],[Customer ID]],customers!$A$1:$A$1001,customers!$I$1:$I$1001,,0)</f>
        <v>Yes</v>
      </c>
    </row>
    <row r="133" spans="1:16" x14ac:dyDescent="0.25">
      <c r="A133" s="2" t="s">
        <v>1227</v>
      </c>
      <c r="B133" s="3">
        <v>44196</v>
      </c>
      <c r="C133" s="2" t="s">
        <v>1228</v>
      </c>
      <c r="D133" t="s">
        <v>6144</v>
      </c>
      <c r="E133" s="2">
        <v>2</v>
      </c>
      <c r="F133" s="2" t="str">
        <f>_xlfn.XLOOKUP(orders!C133,customers!$A$2:$A$1001,customers!$B$2:$B$1001)</f>
        <v>Bobinette Hindsberg</v>
      </c>
      <c r="G133" s="2" t="str">
        <f>IF(_xlfn.XLOOKUP(C133,customers!$A$2:$A$1001,customers!$C$2:$C$1001,,)=0,"",_xlfn.XLOOKUP(C133,customers!$A$2:$A$1001,customers!$C$2:$C$1001,,))</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cm="1">
        <f t="array" ref="N133">_xlfn.IFS(I133="Rob","Robusta",I133="Exc","Excelsa",I133="Ara","Arabica",I133="Lib","Liberica")</f>
        <v>Excelsa</v>
      </c>
      <c r="O133" t="str" cm="1">
        <f t="array" ref="O133">_xlfn.IFS(J133="M","Medium",J133="L","Light",J133="D","Dark")</f>
        <v>Dark</v>
      </c>
      <c r="P133" t="str">
        <f>_xlfn.XLOOKUP(Orders[[#This Row],[Customer ID]],customers!$A$1:$A$1001,customers!$I$1:$I$1001,,0)</f>
        <v>Yes</v>
      </c>
    </row>
    <row r="134" spans="1:16" x14ac:dyDescent="0.25">
      <c r="A134" s="2" t="s">
        <v>1233</v>
      </c>
      <c r="B134" s="3">
        <v>44043</v>
      </c>
      <c r="C134" s="2" t="s">
        <v>1234</v>
      </c>
      <c r="D134" t="s">
        <v>6182</v>
      </c>
      <c r="E134" s="2">
        <v>5</v>
      </c>
      <c r="F134" s="2" t="str">
        <f>_xlfn.XLOOKUP(orders!C134,customers!$A$2:$A$1001,customers!$B$2:$B$1001)</f>
        <v>Osbert Robins</v>
      </c>
      <c r="G134" s="2" t="str">
        <f>IF(_xlfn.XLOOKUP(C134,customers!$A$2:$A$1001,customers!$C$2:$C$1001,,)=0,"",_xlfn.XLOOKUP(C134,customers!$A$2:$A$1001,customers!$C$2:$C$1001,,))</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cm="1">
        <f t="array" ref="N134">_xlfn.IFS(I134="Rob","Robusta",I134="Exc","Excelsa",I134="Ara","Arabica",I134="Lib","Liberica")</f>
        <v>Arabica</v>
      </c>
      <c r="O134" t="str" cm="1">
        <f t="array" ref="O134">_xlfn.IFS(J134="M","Medium",J134="L","Light",J134="D","Dark")</f>
        <v>Light</v>
      </c>
      <c r="P134" t="str">
        <f>_xlfn.XLOOKUP(Orders[[#This Row],[Customer ID]],customers!$A$1:$A$1001,customers!$I$1:$I$1001,,0)</f>
        <v>Yes</v>
      </c>
    </row>
    <row r="135" spans="1:16" x14ac:dyDescent="0.25">
      <c r="A135" s="2" t="s">
        <v>1239</v>
      </c>
      <c r="B135" s="3">
        <v>44340</v>
      </c>
      <c r="C135" s="2" t="s">
        <v>1240</v>
      </c>
      <c r="D135" t="s">
        <v>6143</v>
      </c>
      <c r="E135" s="2">
        <v>1</v>
      </c>
      <c r="F135" s="2" t="str">
        <f>_xlfn.XLOOKUP(orders!C135,customers!$A$2:$A$1001,customers!$B$2:$B$1001)</f>
        <v>Othello Syseland</v>
      </c>
      <c r="G135" s="2" t="str">
        <f>IF(_xlfn.XLOOKUP(C135,customers!$A$2:$A$1001,customers!$C$2:$C$1001,,)=0,"",_xlfn.XLOOKUP(C135,customers!$A$2:$A$1001,customers!$C$2:$C$1001,,))</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cm="1">
        <f t="array" ref="N135">_xlfn.IFS(I135="Rob","Robusta",I135="Exc","Excelsa",I135="Ara","Arabica",I135="Lib","Liberica")</f>
        <v>Liberica</v>
      </c>
      <c r="O135" t="str" cm="1">
        <f t="array" ref="O135">_xlfn.IFS(J135="M","Medium",J135="L","Light",J135="D","Dark")</f>
        <v>Dark</v>
      </c>
      <c r="P135" t="str">
        <f>_xlfn.XLOOKUP(Orders[[#This Row],[Customer ID]],customers!$A$1:$A$1001,customers!$I$1:$I$1001,,0)</f>
        <v>No</v>
      </c>
    </row>
    <row r="136" spans="1:16" x14ac:dyDescent="0.25">
      <c r="A136" s="2" t="s">
        <v>1245</v>
      </c>
      <c r="B136" s="3">
        <v>44758</v>
      </c>
      <c r="C136" s="2" t="s">
        <v>1246</v>
      </c>
      <c r="D136" t="s">
        <v>6166</v>
      </c>
      <c r="E136" s="2">
        <v>3</v>
      </c>
      <c r="F136" s="2" t="str">
        <f>_xlfn.XLOOKUP(orders!C136,customers!$A$2:$A$1001,customers!$B$2:$B$1001)</f>
        <v>Ewell Hanby</v>
      </c>
      <c r="G136" s="2" t="str">
        <f>IF(_xlfn.XLOOKUP(C136,customers!$A$2:$A$1001,customers!$C$2:$C$1001,,)=0,"",_xlfn.XLOOKUP(C136,customers!$A$2:$A$1001,customers!$C$2:$C$1001,,))</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cm="1">
        <f t="array" ref="N136">_xlfn.IFS(I136="Rob","Robusta",I136="Exc","Excelsa",I136="Ara","Arabica",I136="Lib","Liberica")</f>
        <v>Excelsa</v>
      </c>
      <c r="O136" t="str" cm="1">
        <f t="array" ref="O136">_xlfn.IFS(J136="M","Medium",J136="L","Light",J136="D","Dark")</f>
        <v>Medium</v>
      </c>
      <c r="P136" t="str">
        <f>_xlfn.XLOOKUP(Orders[[#This Row],[Customer ID]],customers!$A$1:$A$1001,customers!$I$1:$I$1001,,0)</f>
        <v>Yes</v>
      </c>
    </row>
    <row r="137" spans="1:16" x14ac:dyDescent="0.25">
      <c r="A137" s="2" t="s">
        <v>1249</v>
      </c>
      <c r="B137" s="3">
        <v>44232</v>
      </c>
      <c r="C137" s="2" t="s">
        <v>976</v>
      </c>
      <c r="D137" t="s">
        <v>6180</v>
      </c>
      <c r="E137" s="2">
        <v>5</v>
      </c>
      <c r="F137" s="2" t="str">
        <f>_xlfn.XLOOKUP(orders!C137,customers!$A$2:$A$1001,customers!$B$2:$B$1001)</f>
        <v>Blancha McAmish</v>
      </c>
      <c r="G137" s="2" t="str">
        <f>IF(_xlfn.XLOOKUP(C137,customers!$A$2:$A$1001,customers!$C$2:$C$1001,,)=0,"",_xlfn.XLOOKUP(C137,customers!$A$2:$A$1001,customers!$C$2:$C$1001,,))</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cm="1">
        <f t="array" ref="N137">_xlfn.IFS(I137="Rob","Robusta",I137="Exc","Excelsa",I137="Ara","Arabica",I137="Lib","Liberica")</f>
        <v>Arabica</v>
      </c>
      <c r="O137" t="str" cm="1">
        <f t="array" ref="O137">_xlfn.IFS(J137="M","Medium",J137="L","Light",J137="D","Dark")</f>
        <v>Light</v>
      </c>
      <c r="P137" t="str">
        <f>_xlfn.XLOOKUP(Orders[[#This Row],[Customer ID]],customers!$A$1:$A$1001,customers!$I$1:$I$1001,,0)</f>
        <v>Yes</v>
      </c>
    </row>
    <row r="138" spans="1:16" x14ac:dyDescent="0.25">
      <c r="A138" s="2" t="s">
        <v>1255</v>
      </c>
      <c r="B138" s="3">
        <v>44406</v>
      </c>
      <c r="C138" s="2" t="s">
        <v>1256</v>
      </c>
      <c r="D138" t="s">
        <v>6154</v>
      </c>
      <c r="E138" s="2">
        <v>4</v>
      </c>
      <c r="F138" s="2" t="str">
        <f>_xlfn.XLOOKUP(orders!C138,customers!$A$2:$A$1001,customers!$B$2:$B$1001)</f>
        <v>Lowell Keenleyside</v>
      </c>
      <c r="G138" s="2" t="str">
        <f>IF(_xlfn.XLOOKUP(C138,customers!$A$2:$A$1001,customers!$C$2:$C$1001,,)=0,"",_xlfn.XLOOKUP(C138,customers!$A$2:$A$1001,customers!$C$2:$C$1001,,))</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cm="1">
        <f t="array" ref="N138">_xlfn.IFS(I138="Rob","Robusta",I138="Exc","Excelsa",I138="Ara","Arabica",I138="Lib","Liberica")</f>
        <v>Arabica</v>
      </c>
      <c r="O138" t="str" cm="1">
        <f t="array" ref="O138">_xlfn.IFS(J138="M","Medium",J138="L","Light",J138="D","Dark")</f>
        <v>Dark</v>
      </c>
      <c r="P138" t="str">
        <f>_xlfn.XLOOKUP(Orders[[#This Row],[Customer ID]],customers!$A$1:$A$1001,customers!$I$1:$I$1001,,0)</f>
        <v>No</v>
      </c>
    </row>
    <row r="139" spans="1:16" x14ac:dyDescent="0.25">
      <c r="A139" s="2" t="s">
        <v>1261</v>
      </c>
      <c r="B139" s="3">
        <v>44637</v>
      </c>
      <c r="C139" s="2" t="s">
        <v>1262</v>
      </c>
      <c r="D139" t="s">
        <v>6148</v>
      </c>
      <c r="E139" s="2">
        <v>3</v>
      </c>
      <c r="F139" s="2" t="str">
        <f>_xlfn.XLOOKUP(orders!C139,customers!$A$2:$A$1001,customers!$B$2:$B$1001)</f>
        <v>Elonore Joliffe</v>
      </c>
      <c r="G139" s="2" t="str">
        <f>IF(_xlfn.XLOOKUP(C139,customers!$A$2:$A$1001,customers!$C$2:$C$1001,,)=0,"",_xlfn.XLOOKUP(C139,customers!$A$2:$A$1001,customers!$C$2:$C$1001,,))</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cm="1">
        <f t="array" ref="N139">_xlfn.IFS(I139="Rob","Robusta",I139="Exc","Excelsa",I139="Ara","Arabica",I139="Lib","Liberica")</f>
        <v>Excelsa</v>
      </c>
      <c r="O139" t="str" cm="1">
        <f t="array" ref="O139">_xlfn.IFS(J139="M","Medium",J139="L","Light",J139="D","Dark")</f>
        <v>Light</v>
      </c>
      <c r="P139" t="str">
        <f>_xlfn.XLOOKUP(Orders[[#This Row],[Customer ID]],customers!$A$1:$A$1001,customers!$I$1:$I$1001,,0)</f>
        <v>No</v>
      </c>
    </row>
    <row r="140" spans="1:16" x14ac:dyDescent="0.25">
      <c r="A140" s="2" t="s">
        <v>1266</v>
      </c>
      <c r="B140" s="3">
        <v>44238</v>
      </c>
      <c r="C140" s="2" t="s">
        <v>1267</v>
      </c>
      <c r="D140" t="s">
        <v>6183</v>
      </c>
      <c r="E140" s="2">
        <v>4</v>
      </c>
      <c r="F140" s="2" t="str">
        <f>_xlfn.XLOOKUP(orders!C140,customers!$A$2:$A$1001,customers!$B$2:$B$1001)</f>
        <v>Abraham Coleman</v>
      </c>
      <c r="G140" s="2" t="str">
        <f>IF(_xlfn.XLOOKUP(C140,customers!$A$2:$A$1001,customers!$C$2:$C$1001,,)=0,"",_xlfn.XLOOKUP(C140,customers!$A$2:$A$1001,customers!$C$2:$C$1001,,))</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cm="1">
        <f t="array" ref="N140">_xlfn.IFS(I140="Rob","Robusta",I140="Exc","Excelsa",I140="Ara","Arabica",I140="Lib","Liberica")</f>
        <v>Excelsa</v>
      </c>
      <c r="O140" t="str" cm="1">
        <f t="array" ref="O140">_xlfn.IFS(J140="M","Medium",J140="L","Light",J140="D","Dark")</f>
        <v>Dark</v>
      </c>
      <c r="P140" t="str">
        <f>_xlfn.XLOOKUP(Orders[[#This Row],[Customer ID]],customers!$A$1:$A$1001,customers!$I$1:$I$1001,,0)</f>
        <v>No</v>
      </c>
    </row>
    <row r="141" spans="1:16" x14ac:dyDescent="0.25">
      <c r="A141" s="2" t="s">
        <v>1271</v>
      </c>
      <c r="B141" s="3">
        <v>43509</v>
      </c>
      <c r="C141" s="2" t="s">
        <v>1272</v>
      </c>
      <c r="D141" t="s">
        <v>6143</v>
      </c>
      <c r="E141" s="2">
        <v>6</v>
      </c>
      <c r="F141" s="2" t="str">
        <f>_xlfn.XLOOKUP(orders!C141,customers!$A$2:$A$1001,customers!$B$2:$B$1001)</f>
        <v>Rivy Farington</v>
      </c>
      <c r="G141" s="2" t="str">
        <f>IF(_xlfn.XLOOKUP(C141,customers!$A$2:$A$1001,customers!$C$2:$C$1001,,)=0,"",_xlfn.XLOOKUP(C141,customers!$A$2:$A$1001,customers!$C$2:$C$1001,,))</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cm="1">
        <f t="array" ref="N141">_xlfn.IFS(I141="Rob","Robusta",I141="Exc","Excelsa",I141="Ara","Arabica",I141="Lib","Liberica")</f>
        <v>Liberica</v>
      </c>
      <c r="O141" t="str" cm="1">
        <f t="array" ref="O141">_xlfn.IFS(J141="M","Medium",J141="L","Light",J141="D","Dark")</f>
        <v>Dark</v>
      </c>
      <c r="P141" t="str">
        <f>_xlfn.XLOOKUP(Orders[[#This Row],[Customer ID]],customers!$A$1:$A$1001,customers!$I$1:$I$1001,,0)</f>
        <v>Yes</v>
      </c>
    </row>
    <row r="142" spans="1:16" x14ac:dyDescent="0.25">
      <c r="A142" s="2" t="s">
        <v>1276</v>
      </c>
      <c r="B142" s="3">
        <v>44694</v>
      </c>
      <c r="C142" s="2" t="s">
        <v>1277</v>
      </c>
      <c r="D142" t="s">
        <v>6165</v>
      </c>
      <c r="E142" s="2">
        <v>1</v>
      </c>
      <c r="F142" s="2" t="str">
        <f>_xlfn.XLOOKUP(orders!C142,customers!$A$2:$A$1001,customers!$B$2:$B$1001)</f>
        <v>Vallie Kundt</v>
      </c>
      <c r="G142" s="2" t="str">
        <f>IF(_xlfn.XLOOKUP(C142,customers!$A$2:$A$1001,customers!$C$2:$C$1001,,)=0,"",_xlfn.XLOOKUP(C142,customers!$A$2:$A$1001,customers!$C$2:$C$1001,,))</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cm="1">
        <f t="array" ref="N142">_xlfn.IFS(I142="Rob","Robusta",I142="Exc","Excelsa",I142="Ara","Arabica",I142="Lib","Liberica")</f>
        <v>Liberica</v>
      </c>
      <c r="O142" t="str" cm="1">
        <f t="array" ref="O142">_xlfn.IFS(J142="M","Medium",J142="L","Light",J142="D","Dark")</f>
        <v>Dark</v>
      </c>
      <c r="P142" t="str">
        <f>_xlfn.XLOOKUP(Orders[[#This Row],[Customer ID]],customers!$A$1:$A$1001,customers!$I$1:$I$1001,,0)</f>
        <v>Yes</v>
      </c>
    </row>
    <row r="143" spans="1:16" x14ac:dyDescent="0.25">
      <c r="A143" s="2" t="s">
        <v>1283</v>
      </c>
      <c r="B143" s="3">
        <v>43970</v>
      </c>
      <c r="C143" s="2" t="s">
        <v>1284</v>
      </c>
      <c r="D143" t="s">
        <v>6167</v>
      </c>
      <c r="E143" s="2">
        <v>4</v>
      </c>
      <c r="F143" s="2" t="str">
        <f>_xlfn.XLOOKUP(orders!C143,customers!$A$2:$A$1001,customers!$B$2:$B$1001)</f>
        <v>Boyd Bett</v>
      </c>
      <c r="G143" s="2" t="str">
        <f>IF(_xlfn.XLOOKUP(C143,customers!$A$2:$A$1001,customers!$C$2:$C$1001,,)=0,"",_xlfn.XLOOKUP(C143,customers!$A$2:$A$1001,customers!$C$2:$C$1001,,))</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cm="1">
        <f t="array" ref="N143">_xlfn.IFS(I143="Rob","Robusta",I143="Exc","Excelsa",I143="Ara","Arabica",I143="Lib","Liberica")</f>
        <v>Arabica</v>
      </c>
      <c r="O143" t="str" cm="1">
        <f t="array" ref="O143">_xlfn.IFS(J143="M","Medium",J143="L","Light",J143="D","Dark")</f>
        <v>Light</v>
      </c>
      <c r="P143" t="str">
        <f>_xlfn.XLOOKUP(Orders[[#This Row],[Customer ID]],customers!$A$1:$A$1001,customers!$I$1:$I$1001,,0)</f>
        <v>Yes</v>
      </c>
    </row>
    <row r="144" spans="1:16" x14ac:dyDescent="0.25">
      <c r="A144" s="2" t="s">
        <v>1289</v>
      </c>
      <c r="B144" s="3">
        <v>44678</v>
      </c>
      <c r="C144" s="2" t="s">
        <v>1290</v>
      </c>
      <c r="D144" t="s">
        <v>6148</v>
      </c>
      <c r="E144" s="2">
        <v>4</v>
      </c>
      <c r="F144" s="2" t="str">
        <f>_xlfn.XLOOKUP(orders!C144,customers!$A$2:$A$1001,customers!$B$2:$B$1001)</f>
        <v>Julio Armytage</v>
      </c>
      <c r="G144" s="2" t="str">
        <f>IF(_xlfn.XLOOKUP(C144,customers!$A$2:$A$1001,customers!$C$2:$C$1001,,)=0,"",_xlfn.XLOOKUP(C144,customers!$A$2:$A$1001,customers!$C$2:$C$1001,,))</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cm="1">
        <f t="array" ref="N144">_xlfn.IFS(I144="Rob","Robusta",I144="Exc","Excelsa",I144="Ara","Arabica",I144="Lib","Liberica")</f>
        <v>Excelsa</v>
      </c>
      <c r="O144" t="str" cm="1">
        <f t="array" ref="O144">_xlfn.IFS(J144="M","Medium",J144="L","Light",J144="D","Dark")</f>
        <v>Light</v>
      </c>
      <c r="P144" t="str">
        <f>_xlfn.XLOOKUP(Orders[[#This Row],[Customer ID]],customers!$A$1:$A$1001,customers!$I$1:$I$1001,,0)</f>
        <v>Yes</v>
      </c>
    </row>
    <row r="145" spans="1:16" x14ac:dyDescent="0.25">
      <c r="A145" s="2" t="s">
        <v>1293</v>
      </c>
      <c r="B145" s="3">
        <v>44083</v>
      </c>
      <c r="C145" s="2" t="s">
        <v>1294</v>
      </c>
      <c r="D145" t="s">
        <v>6160</v>
      </c>
      <c r="E145" s="2">
        <v>2</v>
      </c>
      <c r="F145" s="2" t="str">
        <f>_xlfn.XLOOKUP(orders!C145,customers!$A$2:$A$1001,customers!$B$2:$B$1001)</f>
        <v>Deana Staite</v>
      </c>
      <c r="G145" s="2" t="str">
        <f>IF(_xlfn.XLOOKUP(C145,customers!$A$2:$A$1001,customers!$C$2:$C$1001,,)=0,"",_xlfn.XLOOKUP(C145,customers!$A$2:$A$1001,customers!$C$2:$C$1001,,))</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cm="1">
        <f t="array" ref="N145">_xlfn.IFS(I145="Rob","Robusta",I145="Exc","Excelsa",I145="Ara","Arabica",I145="Lib","Liberica")</f>
        <v>Liberica</v>
      </c>
      <c r="O145" t="str" cm="1">
        <f t="array" ref="O145">_xlfn.IFS(J145="M","Medium",J145="L","Light",J145="D","Dark")</f>
        <v>Medium</v>
      </c>
      <c r="P145" t="str">
        <f>_xlfn.XLOOKUP(Orders[[#This Row],[Customer ID]],customers!$A$1:$A$1001,customers!$I$1:$I$1001,,0)</f>
        <v>No</v>
      </c>
    </row>
    <row r="146" spans="1:16" x14ac:dyDescent="0.25">
      <c r="A146" s="2" t="s">
        <v>1299</v>
      </c>
      <c r="B146" s="3">
        <v>44265</v>
      </c>
      <c r="C146" s="2" t="s">
        <v>1300</v>
      </c>
      <c r="D146" t="s">
        <v>6148</v>
      </c>
      <c r="E146" s="2">
        <v>2</v>
      </c>
      <c r="F146" s="2" t="str">
        <f>_xlfn.XLOOKUP(orders!C146,customers!$A$2:$A$1001,customers!$B$2:$B$1001)</f>
        <v>Winn Keyse</v>
      </c>
      <c r="G146" s="2" t="str">
        <f>IF(_xlfn.XLOOKUP(C146,customers!$A$2:$A$1001,customers!$C$2:$C$1001,,)=0,"",_xlfn.XLOOKUP(C146,customers!$A$2:$A$1001,customers!$C$2:$C$1001,,))</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cm="1">
        <f t="array" ref="N146">_xlfn.IFS(I146="Rob","Robusta",I146="Exc","Excelsa",I146="Ara","Arabica",I146="Lib","Liberica")</f>
        <v>Excelsa</v>
      </c>
      <c r="O146" t="str" cm="1">
        <f t="array" ref="O146">_xlfn.IFS(J146="M","Medium",J146="L","Light",J146="D","Dark")</f>
        <v>Light</v>
      </c>
      <c r="P146" t="str">
        <f>_xlfn.XLOOKUP(Orders[[#This Row],[Customer ID]],customers!$A$1:$A$1001,customers!$I$1:$I$1001,,0)</f>
        <v>Yes</v>
      </c>
    </row>
    <row r="147" spans="1:16" x14ac:dyDescent="0.25">
      <c r="A147" s="2" t="s">
        <v>1305</v>
      </c>
      <c r="B147" s="3">
        <v>43562</v>
      </c>
      <c r="C147" s="2" t="s">
        <v>1306</v>
      </c>
      <c r="D147" t="s">
        <v>6159</v>
      </c>
      <c r="E147" s="2">
        <v>4</v>
      </c>
      <c r="F147" s="2" t="str">
        <f>_xlfn.XLOOKUP(orders!C147,customers!$A$2:$A$1001,customers!$B$2:$B$1001)</f>
        <v>Osmund Clausen-Thue</v>
      </c>
      <c r="G147" s="2" t="str">
        <f>IF(_xlfn.XLOOKUP(C147,customers!$A$2:$A$1001,customers!$C$2:$C$1001,,)=0,"",_xlfn.XLOOKUP(C147,customers!$A$2:$A$1001,customers!$C$2:$C$1001,,))</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cm="1">
        <f t="array" ref="N147">_xlfn.IFS(I147="Rob","Robusta",I147="Exc","Excelsa",I147="Ara","Arabica",I147="Lib","Liberica")</f>
        <v>Liberica</v>
      </c>
      <c r="O147" t="str" cm="1">
        <f t="array" ref="O147">_xlfn.IFS(J147="M","Medium",J147="L","Light",J147="D","Dark")</f>
        <v>Medium</v>
      </c>
      <c r="P147" t="str">
        <f>_xlfn.XLOOKUP(Orders[[#This Row],[Customer ID]],customers!$A$1:$A$1001,customers!$I$1:$I$1001,,0)</f>
        <v>No</v>
      </c>
    </row>
    <row r="148" spans="1:16" x14ac:dyDescent="0.25">
      <c r="A148" s="2" t="s">
        <v>1311</v>
      </c>
      <c r="B148" s="3">
        <v>44024</v>
      </c>
      <c r="C148" s="2" t="s">
        <v>1312</v>
      </c>
      <c r="D148" t="s">
        <v>6162</v>
      </c>
      <c r="E148" s="2">
        <v>3</v>
      </c>
      <c r="F148" s="2" t="str">
        <f>_xlfn.XLOOKUP(orders!C148,customers!$A$2:$A$1001,customers!$B$2:$B$1001)</f>
        <v>Leonore Francisco</v>
      </c>
      <c r="G148" s="2" t="str">
        <f>IF(_xlfn.XLOOKUP(C148,customers!$A$2:$A$1001,customers!$C$2:$C$1001,,)=0,"",_xlfn.XLOOKUP(C148,customers!$A$2:$A$1001,customers!$C$2:$C$1001,,))</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cm="1">
        <f t="array" ref="N148">_xlfn.IFS(I148="Rob","Robusta",I148="Exc","Excelsa",I148="Ara","Arabica",I148="Lib","Liberica")</f>
        <v>Liberica</v>
      </c>
      <c r="O148" t="str" cm="1">
        <f t="array" ref="O148">_xlfn.IFS(J148="M","Medium",J148="L","Light",J148="D","Dark")</f>
        <v>Medium</v>
      </c>
      <c r="P148" t="str">
        <f>_xlfn.XLOOKUP(Orders[[#This Row],[Customer ID]],customers!$A$1:$A$1001,customers!$I$1:$I$1001,,0)</f>
        <v>No</v>
      </c>
    </row>
    <row r="149" spans="1:16" x14ac:dyDescent="0.25">
      <c r="A149" s="2" t="s">
        <v>1311</v>
      </c>
      <c r="B149" s="3">
        <v>44024</v>
      </c>
      <c r="C149" s="2" t="s">
        <v>1312</v>
      </c>
      <c r="D149" t="s">
        <v>6141</v>
      </c>
      <c r="E149" s="2">
        <v>2</v>
      </c>
      <c r="F149" s="2" t="str">
        <f>_xlfn.XLOOKUP(orders!C149,customers!$A$2:$A$1001,customers!$B$2:$B$1001)</f>
        <v>Leonore Francisco</v>
      </c>
      <c r="G149" s="2" t="str">
        <f>IF(_xlfn.XLOOKUP(C149,customers!$A$2:$A$1001,customers!$C$2:$C$1001,,)=0,"",_xlfn.XLOOKUP(C149,customers!$A$2:$A$1001,customers!$C$2:$C$1001,,))</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cm="1">
        <f t="array" ref="N149">_xlfn.IFS(I149="Rob","Robusta",I149="Exc","Excelsa",I149="Ara","Arabica",I149="Lib","Liberica")</f>
        <v>Excelsa</v>
      </c>
      <c r="O149" t="str" cm="1">
        <f t="array" ref="O149">_xlfn.IFS(J149="M","Medium",J149="L","Light",J149="D","Dark")</f>
        <v>Medium</v>
      </c>
      <c r="P149" t="str">
        <f>_xlfn.XLOOKUP(Orders[[#This Row],[Customer ID]],customers!$A$1:$A$1001,customers!$I$1:$I$1001,,0)</f>
        <v>No</v>
      </c>
    </row>
    <row r="150" spans="1:16" x14ac:dyDescent="0.25">
      <c r="A150" s="2" t="s">
        <v>1322</v>
      </c>
      <c r="B150" s="3">
        <v>44551</v>
      </c>
      <c r="C150" s="2" t="s">
        <v>1323</v>
      </c>
      <c r="D150" t="s">
        <v>6153</v>
      </c>
      <c r="E150" s="2">
        <v>5</v>
      </c>
      <c r="F150" s="2" t="str">
        <f>_xlfn.XLOOKUP(orders!C150,customers!$A$2:$A$1001,customers!$B$2:$B$1001)</f>
        <v>Giacobo Skingle</v>
      </c>
      <c r="G150" s="2" t="str">
        <f>IF(_xlfn.XLOOKUP(C150,customers!$A$2:$A$1001,customers!$C$2:$C$1001,,)=0,"",_xlfn.XLOOKUP(C150,customers!$A$2:$A$1001,customers!$C$2:$C$1001,,))</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cm="1">
        <f t="array" ref="N150">_xlfn.IFS(I150="Rob","Robusta",I150="Exc","Excelsa",I150="Ara","Arabica",I150="Lib","Liberica")</f>
        <v>Excelsa</v>
      </c>
      <c r="O150" t="str" cm="1">
        <f t="array" ref="O150">_xlfn.IFS(J150="M","Medium",J150="L","Light",J150="D","Dark")</f>
        <v>Dark</v>
      </c>
      <c r="P150" t="str">
        <f>_xlfn.XLOOKUP(Orders[[#This Row],[Customer ID]],customers!$A$1:$A$1001,customers!$I$1:$I$1001,,0)</f>
        <v>Yes</v>
      </c>
    </row>
    <row r="151" spans="1:16" x14ac:dyDescent="0.25">
      <c r="A151" s="2" t="s">
        <v>1328</v>
      </c>
      <c r="B151" s="3">
        <v>44108</v>
      </c>
      <c r="C151" s="2" t="s">
        <v>1329</v>
      </c>
      <c r="D151" t="s">
        <v>6175</v>
      </c>
      <c r="E151" s="2">
        <v>2</v>
      </c>
      <c r="F151" s="2" t="str">
        <f>_xlfn.XLOOKUP(orders!C151,customers!$A$2:$A$1001,customers!$B$2:$B$1001)</f>
        <v>Gerard Pirdy</v>
      </c>
      <c r="G151" s="2" t="str">
        <f>IF(_xlfn.XLOOKUP(C151,customers!$A$2:$A$1001,customers!$C$2:$C$1001,,)=0,"",_xlfn.XLOOKUP(C151,customers!$A$2:$A$1001,customers!$C$2:$C$1001,,))</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cm="1">
        <f t="array" ref="N151">_xlfn.IFS(I151="Rob","Robusta",I151="Exc","Excelsa",I151="Ara","Arabica",I151="Lib","Liberica")</f>
        <v>Arabica</v>
      </c>
      <c r="O151" t="str" cm="1">
        <f t="array" ref="O151">_xlfn.IFS(J151="M","Medium",J151="L","Light",J151="D","Dark")</f>
        <v>Medium</v>
      </c>
      <c r="P151" t="str">
        <f>_xlfn.XLOOKUP(Orders[[#This Row],[Customer ID]],customers!$A$1:$A$1001,customers!$I$1:$I$1001,,0)</f>
        <v>Yes</v>
      </c>
    </row>
    <row r="152" spans="1:16" x14ac:dyDescent="0.25">
      <c r="A152" s="2" t="s">
        <v>1333</v>
      </c>
      <c r="B152" s="3">
        <v>44051</v>
      </c>
      <c r="C152" s="2" t="s">
        <v>1334</v>
      </c>
      <c r="D152" t="s">
        <v>6143</v>
      </c>
      <c r="E152" s="2">
        <v>1</v>
      </c>
      <c r="F152" s="2" t="str">
        <f>_xlfn.XLOOKUP(orders!C152,customers!$A$2:$A$1001,customers!$B$2:$B$1001)</f>
        <v>Jacinthe Balsillie</v>
      </c>
      <c r="G152" s="2" t="str">
        <f>IF(_xlfn.XLOOKUP(C152,customers!$A$2:$A$1001,customers!$C$2:$C$1001,,)=0,"",_xlfn.XLOOKUP(C152,customers!$A$2:$A$1001,customers!$C$2:$C$1001,,))</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cm="1">
        <f t="array" ref="N152">_xlfn.IFS(I152="Rob","Robusta",I152="Exc","Excelsa",I152="Ara","Arabica",I152="Lib","Liberica")</f>
        <v>Liberica</v>
      </c>
      <c r="O152" t="str" cm="1">
        <f t="array" ref="O152">_xlfn.IFS(J152="M","Medium",J152="L","Light",J152="D","Dark")</f>
        <v>Dark</v>
      </c>
      <c r="P152" t="str">
        <f>_xlfn.XLOOKUP(Orders[[#This Row],[Customer ID]],customers!$A$1:$A$1001,customers!$I$1:$I$1001,,0)</f>
        <v>Yes</v>
      </c>
    </row>
    <row r="153" spans="1:16" x14ac:dyDescent="0.25">
      <c r="A153" s="2" t="s">
        <v>1339</v>
      </c>
      <c r="B153" s="3">
        <v>44115</v>
      </c>
      <c r="C153" s="2" t="s">
        <v>1340</v>
      </c>
      <c r="D153" t="s">
        <v>6155</v>
      </c>
      <c r="E153" s="2">
        <v>3</v>
      </c>
      <c r="F153" s="2" t="str">
        <f>_xlfn.XLOOKUP(orders!C153,customers!$A$2:$A$1001,customers!$B$2:$B$1001)</f>
        <v>Quinton Fouracres</v>
      </c>
      <c r="G153" s="2" t="str">
        <f>IF(_xlfn.XLOOKUP(C153,customers!$A$2:$A$1001,customers!$C$2:$C$1001,,)=0,"",_xlfn.XLOOKUP(C153,customers!$A$2:$A$1001,customers!$C$2:$C$1001,,))</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cm="1">
        <f t="array" ref="N153">_xlfn.IFS(I153="Rob","Robusta",I153="Exc","Excelsa",I153="Ara","Arabica",I153="Lib","Liberica")</f>
        <v>Arabica</v>
      </c>
      <c r="O153" t="str" cm="1">
        <f t="array" ref="O153">_xlfn.IFS(J153="M","Medium",J153="L","Light",J153="D","Dark")</f>
        <v>Medium</v>
      </c>
      <c r="P153" t="str">
        <f>_xlfn.XLOOKUP(Orders[[#This Row],[Customer ID]],customers!$A$1:$A$1001,customers!$I$1:$I$1001,,0)</f>
        <v>Yes</v>
      </c>
    </row>
    <row r="154" spans="1:16" x14ac:dyDescent="0.25">
      <c r="A154" s="2" t="s">
        <v>1344</v>
      </c>
      <c r="B154" s="3">
        <v>44510</v>
      </c>
      <c r="C154" s="2" t="s">
        <v>1345</v>
      </c>
      <c r="D154" t="s">
        <v>6151</v>
      </c>
      <c r="E154" s="2">
        <v>3</v>
      </c>
      <c r="F154" s="2" t="str">
        <f>_xlfn.XLOOKUP(orders!C154,customers!$A$2:$A$1001,customers!$B$2:$B$1001)</f>
        <v>Bettina Leffek</v>
      </c>
      <c r="G154" s="2" t="str">
        <f>IF(_xlfn.XLOOKUP(C154,customers!$A$2:$A$1001,customers!$C$2:$C$1001,,)=0,"",_xlfn.XLOOKUP(C154,customers!$A$2:$A$1001,customers!$C$2:$C$1001,,))</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cm="1">
        <f t="array" ref="N154">_xlfn.IFS(I154="Rob","Robusta",I154="Exc","Excelsa",I154="Ara","Arabica",I154="Lib","Liberica")</f>
        <v>Robusta</v>
      </c>
      <c r="O154" t="str" cm="1">
        <f t="array" ref="O154">_xlfn.IFS(J154="M","Medium",J154="L","Light",J154="D","Dark")</f>
        <v>Medium</v>
      </c>
      <c r="P154" t="str">
        <f>_xlfn.XLOOKUP(Orders[[#This Row],[Customer ID]],customers!$A$1:$A$1001,customers!$I$1:$I$1001,,0)</f>
        <v>Yes</v>
      </c>
    </row>
    <row r="155" spans="1:16" x14ac:dyDescent="0.25">
      <c r="A155" s="2" t="s">
        <v>1350</v>
      </c>
      <c r="B155" s="3">
        <v>44367</v>
      </c>
      <c r="C155" s="2" t="s">
        <v>1351</v>
      </c>
      <c r="D155" t="s">
        <v>6163</v>
      </c>
      <c r="E155" s="2">
        <v>1</v>
      </c>
      <c r="F155" s="2" t="str">
        <f>_xlfn.XLOOKUP(orders!C155,customers!$A$2:$A$1001,customers!$B$2:$B$1001)</f>
        <v>Hetti Penson</v>
      </c>
      <c r="G155" s="2" t="str">
        <f>IF(_xlfn.XLOOKUP(C155,customers!$A$2:$A$1001,customers!$C$2:$C$1001,,)=0,"",_xlfn.XLOOKUP(C155,customers!$A$2:$A$1001,customers!$C$2:$C$1001,,))</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cm="1">
        <f t="array" ref="N155">_xlfn.IFS(I155="Rob","Robusta",I155="Exc","Excelsa",I155="Ara","Arabica",I155="Lib","Liberica")</f>
        <v>Robusta</v>
      </c>
      <c r="O155" t="str" cm="1">
        <f t="array" ref="O155">_xlfn.IFS(J155="M","Medium",J155="L","Light",J155="D","Dark")</f>
        <v>Dark</v>
      </c>
      <c r="P155" t="str">
        <f>_xlfn.XLOOKUP(Orders[[#This Row],[Customer ID]],customers!$A$1:$A$1001,customers!$I$1:$I$1001,,0)</f>
        <v>No</v>
      </c>
    </row>
    <row r="156" spans="1:16" x14ac:dyDescent="0.25">
      <c r="A156" s="2" t="s">
        <v>1355</v>
      </c>
      <c r="B156" s="3">
        <v>44473</v>
      </c>
      <c r="C156" s="2" t="s">
        <v>1356</v>
      </c>
      <c r="D156" t="s">
        <v>6168</v>
      </c>
      <c r="E156" s="2">
        <v>5</v>
      </c>
      <c r="F156" s="2" t="str">
        <f>_xlfn.XLOOKUP(orders!C156,customers!$A$2:$A$1001,customers!$B$2:$B$1001)</f>
        <v>Jocko Pray</v>
      </c>
      <c r="G156" s="2" t="str">
        <f>IF(_xlfn.XLOOKUP(C156,customers!$A$2:$A$1001,customers!$C$2:$C$1001,,)=0,"",_xlfn.XLOOKUP(C156,customers!$A$2:$A$1001,customers!$C$2:$C$1001,,))</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cm="1">
        <f t="array" ref="N156">_xlfn.IFS(I156="Rob","Robusta",I156="Exc","Excelsa",I156="Ara","Arabica",I156="Lib","Liberica")</f>
        <v>Arabica</v>
      </c>
      <c r="O156" t="str" cm="1">
        <f t="array" ref="O156">_xlfn.IFS(J156="M","Medium",J156="L","Light",J156="D","Dark")</f>
        <v>Dark</v>
      </c>
      <c r="P156" t="str">
        <f>_xlfn.XLOOKUP(Orders[[#This Row],[Customer ID]],customers!$A$1:$A$1001,customers!$I$1:$I$1001,,0)</f>
        <v>No</v>
      </c>
    </row>
    <row r="157" spans="1:16" x14ac:dyDescent="0.25">
      <c r="A157" s="2" t="s">
        <v>1361</v>
      </c>
      <c r="B157" s="3">
        <v>43640</v>
      </c>
      <c r="C157" s="2" t="s">
        <v>1362</v>
      </c>
      <c r="D157" t="s">
        <v>6175</v>
      </c>
      <c r="E157" s="2">
        <v>6</v>
      </c>
      <c r="F157" s="2" t="str">
        <f>_xlfn.XLOOKUP(orders!C157,customers!$A$2:$A$1001,customers!$B$2:$B$1001)</f>
        <v>Grete Holborn</v>
      </c>
      <c r="G157" s="2" t="str">
        <f>IF(_xlfn.XLOOKUP(C157,customers!$A$2:$A$1001,customers!$C$2:$C$1001,,)=0,"",_xlfn.XLOOKUP(C157,customers!$A$2:$A$1001,customers!$C$2:$C$1001,,))</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cm="1">
        <f t="array" ref="N157">_xlfn.IFS(I157="Rob","Robusta",I157="Exc","Excelsa",I157="Ara","Arabica",I157="Lib","Liberica")</f>
        <v>Arabica</v>
      </c>
      <c r="O157" t="str" cm="1">
        <f t="array" ref="O157">_xlfn.IFS(J157="M","Medium",J157="L","Light",J157="D","Dark")</f>
        <v>Medium</v>
      </c>
      <c r="P157" t="str">
        <f>_xlfn.XLOOKUP(Orders[[#This Row],[Customer ID]],customers!$A$1:$A$1001,customers!$I$1:$I$1001,,0)</f>
        <v>Yes</v>
      </c>
    </row>
    <row r="158" spans="1:16" x14ac:dyDescent="0.25">
      <c r="A158" s="2" t="s">
        <v>1367</v>
      </c>
      <c r="B158" s="3">
        <v>43764</v>
      </c>
      <c r="C158" s="2" t="s">
        <v>1368</v>
      </c>
      <c r="D158" t="s">
        <v>6175</v>
      </c>
      <c r="E158" s="2">
        <v>3</v>
      </c>
      <c r="F158" s="2" t="str">
        <f>_xlfn.XLOOKUP(orders!C158,customers!$A$2:$A$1001,customers!$B$2:$B$1001)</f>
        <v>Fielding Keinrat</v>
      </c>
      <c r="G158" s="2" t="str">
        <f>IF(_xlfn.XLOOKUP(C158,customers!$A$2:$A$1001,customers!$C$2:$C$1001,,)=0,"",_xlfn.XLOOKUP(C158,customers!$A$2:$A$1001,customers!$C$2:$C$1001,,))</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cm="1">
        <f t="array" ref="N158">_xlfn.IFS(I158="Rob","Robusta",I158="Exc","Excelsa",I158="Ara","Arabica",I158="Lib","Liberica")</f>
        <v>Arabica</v>
      </c>
      <c r="O158" t="str" cm="1">
        <f t="array" ref="O158">_xlfn.IFS(J158="M","Medium",J158="L","Light",J158="D","Dark")</f>
        <v>Medium</v>
      </c>
      <c r="P158" t="str">
        <f>_xlfn.XLOOKUP(Orders[[#This Row],[Customer ID]],customers!$A$1:$A$1001,customers!$I$1:$I$1001,,0)</f>
        <v>Yes</v>
      </c>
    </row>
    <row r="159" spans="1:16" x14ac:dyDescent="0.25">
      <c r="A159" s="2" t="s">
        <v>1373</v>
      </c>
      <c r="B159" s="3">
        <v>44374</v>
      </c>
      <c r="C159" s="2" t="s">
        <v>1374</v>
      </c>
      <c r="D159" t="s">
        <v>6149</v>
      </c>
      <c r="E159" s="2">
        <v>3</v>
      </c>
      <c r="F159" s="2" t="str">
        <f>_xlfn.XLOOKUP(orders!C159,customers!$A$2:$A$1001,customers!$B$2:$B$1001)</f>
        <v>Paulo Yea</v>
      </c>
      <c r="G159" s="2" t="str">
        <f>IF(_xlfn.XLOOKUP(C159,customers!$A$2:$A$1001,customers!$C$2:$C$1001,,)=0,"",_xlfn.XLOOKUP(C159,customers!$A$2:$A$1001,customers!$C$2:$C$1001,,))</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cm="1">
        <f t="array" ref="N159">_xlfn.IFS(I159="Rob","Robusta",I159="Exc","Excelsa",I159="Ara","Arabica",I159="Lib","Liberica")</f>
        <v>Robusta</v>
      </c>
      <c r="O159" t="str" cm="1">
        <f t="array" ref="O159">_xlfn.IFS(J159="M","Medium",J159="L","Light",J159="D","Dark")</f>
        <v>Dark</v>
      </c>
      <c r="P159" t="str">
        <f>_xlfn.XLOOKUP(Orders[[#This Row],[Customer ID]],customers!$A$1:$A$1001,customers!$I$1:$I$1001,,0)</f>
        <v>No</v>
      </c>
    </row>
    <row r="160" spans="1:16" x14ac:dyDescent="0.25">
      <c r="A160" s="2" t="s">
        <v>1379</v>
      </c>
      <c r="B160" s="3">
        <v>43714</v>
      </c>
      <c r="C160" s="2" t="s">
        <v>1380</v>
      </c>
      <c r="D160" t="s">
        <v>6149</v>
      </c>
      <c r="E160" s="2">
        <v>6</v>
      </c>
      <c r="F160" s="2" t="str">
        <f>_xlfn.XLOOKUP(orders!C160,customers!$A$2:$A$1001,customers!$B$2:$B$1001)</f>
        <v>Say Risborough</v>
      </c>
      <c r="G160" s="2" t="str">
        <f>IF(_xlfn.XLOOKUP(C160,customers!$A$2:$A$1001,customers!$C$2:$C$1001,,)=0,"",_xlfn.XLOOKUP(C160,customers!$A$2:$A$1001,customers!$C$2:$C$1001,,))</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cm="1">
        <f t="array" ref="N160">_xlfn.IFS(I160="Rob","Robusta",I160="Exc","Excelsa",I160="Ara","Arabica",I160="Lib","Liberica")</f>
        <v>Robusta</v>
      </c>
      <c r="O160" t="str" cm="1">
        <f t="array" ref="O160">_xlfn.IFS(J160="M","Medium",J160="L","Light",J160="D","Dark")</f>
        <v>Dark</v>
      </c>
      <c r="P160" t="str">
        <f>_xlfn.XLOOKUP(Orders[[#This Row],[Customer ID]],customers!$A$1:$A$1001,customers!$I$1:$I$1001,,0)</f>
        <v>Yes</v>
      </c>
    </row>
    <row r="161" spans="1:16" x14ac:dyDescent="0.25">
      <c r="A161" s="2" t="s">
        <v>1384</v>
      </c>
      <c r="B161" s="3">
        <v>44316</v>
      </c>
      <c r="C161" s="2" t="s">
        <v>1385</v>
      </c>
      <c r="D161" t="s">
        <v>6164</v>
      </c>
      <c r="E161" s="2">
        <v>6</v>
      </c>
      <c r="F161" s="2" t="str">
        <f>_xlfn.XLOOKUP(orders!C161,customers!$A$2:$A$1001,customers!$B$2:$B$1001)</f>
        <v>Alexa Sizey</v>
      </c>
      <c r="G161" s="2" t="str">
        <f>IF(_xlfn.XLOOKUP(C161,customers!$A$2:$A$1001,customers!$C$2:$C$1001,,)=0,"",_xlfn.XLOOKUP(C161,customers!$A$2:$A$1001,customers!$C$2:$C$1001,,))</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cm="1">
        <f t="array" ref="N161">_xlfn.IFS(I161="Rob","Robusta",I161="Exc","Excelsa",I161="Ara","Arabica",I161="Lib","Liberica")</f>
        <v>Liberica</v>
      </c>
      <c r="O161" t="str" cm="1">
        <f t="array" ref="O161">_xlfn.IFS(J161="M","Medium",J161="L","Light",J161="D","Dark")</f>
        <v>Light</v>
      </c>
      <c r="P161" t="str">
        <f>_xlfn.XLOOKUP(Orders[[#This Row],[Customer ID]],customers!$A$1:$A$1001,customers!$I$1:$I$1001,,0)</f>
        <v>No</v>
      </c>
    </row>
    <row r="162" spans="1:16" x14ac:dyDescent="0.25">
      <c r="A162" s="2" t="s">
        <v>1389</v>
      </c>
      <c r="B162" s="3">
        <v>43837</v>
      </c>
      <c r="C162" s="2" t="s">
        <v>1390</v>
      </c>
      <c r="D162" t="s">
        <v>6139</v>
      </c>
      <c r="E162" s="2">
        <v>4</v>
      </c>
      <c r="F162" s="2" t="str">
        <f>_xlfn.XLOOKUP(orders!C162,customers!$A$2:$A$1001,customers!$B$2:$B$1001)</f>
        <v>Kari Swede</v>
      </c>
      <c r="G162" s="2" t="str">
        <f>IF(_xlfn.XLOOKUP(C162,customers!$A$2:$A$1001,customers!$C$2:$C$1001,,)=0,"",_xlfn.XLOOKUP(C162,customers!$A$2:$A$1001,customers!$C$2:$C$1001,,))</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cm="1">
        <f t="array" ref="N162">_xlfn.IFS(I162="Rob","Robusta",I162="Exc","Excelsa",I162="Ara","Arabica",I162="Lib","Liberica")</f>
        <v>Excelsa</v>
      </c>
      <c r="O162" t="str" cm="1">
        <f t="array" ref="O162">_xlfn.IFS(J162="M","Medium",J162="L","Light",J162="D","Dark")</f>
        <v>Medium</v>
      </c>
      <c r="P162" t="str">
        <f>_xlfn.XLOOKUP(Orders[[#This Row],[Customer ID]],customers!$A$1:$A$1001,customers!$I$1:$I$1001,,0)</f>
        <v>No</v>
      </c>
    </row>
    <row r="163" spans="1:16" x14ac:dyDescent="0.25">
      <c r="A163" s="2" t="s">
        <v>1395</v>
      </c>
      <c r="B163" s="3">
        <v>44207</v>
      </c>
      <c r="C163" s="2" t="s">
        <v>1396</v>
      </c>
      <c r="D163" t="s">
        <v>6180</v>
      </c>
      <c r="E163" s="2">
        <v>3</v>
      </c>
      <c r="F163" s="2" t="str">
        <f>_xlfn.XLOOKUP(orders!C163,customers!$A$2:$A$1001,customers!$B$2:$B$1001)</f>
        <v>Leontine Rubrow</v>
      </c>
      <c r="G163" s="2" t="str">
        <f>IF(_xlfn.XLOOKUP(C163,customers!$A$2:$A$1001,customers!$C$2:$C$1001,,)=0,"",_xlfn.XLOOKUP(C163,customers!$A$2:$A$1001,customers!$C$2:$C$1001,,))</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cm="1">
        <f t="array" ref="N163">_xlfn.IFS(I163="Rob","Robusta",I163="Exc","Excelsa",I163="Ara","Arabica",I163="Lib","Liberica")</f>
        <v>Arabica</v>
      </c>
      <c r="O163" t="str" cm="1">
        <f t="array" ref="O163">_xlfn.IFS(J163="M","Medium",J163="L","Light",J163="D","Dark")</f>
        <v>Light</v>
      </c>
      <c r="P163" t="str">
        <f>_xlfn.XLOOKUP(Orders[[#This Row],[Customer ID]],customers!$A$1:$A$1001,customers!$I$1:$I$1001,,0)</f>
        <v>No</v>
      </c>
    </row>
    <row r="164" spans="1:16" x14ac:dyDescent="0.25">
      <c r="A164" s="2" t="s">
        <v>1401</v>
      </c>
      <c r="B164" s="3">
        <v>44515</v>
      </c>
      <c r="C164" s="2" t="s">
        <v>1402</v>
      </c>
      <c r="D164" t="s">
        <v>6144</v>
      </c>
      <c r="E164" s="2">
        <v>3</v>
      </c>
      <c r="F164" s="2" t="str">
        <f>_xlfn.XLOOKUP(orders!C164,customers!$A$2:$A$1001,customers!$B$2:$B$1001)</f>
        <v>Dottie Tift</v>
      </c>
      <c r="G164" s="2" t="str">
        <f>IF(_xlfn.XLOOKUP(C164,customers!$A$2:$A$1001,customers!$C$2:$C$1001,,)=0,"",_xlfn.XLOOKUP(C164,customers!$A$2:$A$1001,customers!$C$2:$C$1001,,))</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cm="1">
        <f t="array" ref="N164">_xlfn.IFS(I164="Rob","Robusta",I164="Exc","Excelsa",I164="Ara","Arabica",I164="Lib","Liberica")</f>
        <v>Excelsa</v>
      </c>
      <c r="O164" t="str" cm="1">
        <f t="array" ref="O164">_xlfn.IFS(J164="M","Medium",J164="L","Light",J164="D","Dark")</f>
        <v>Dark</v>
      </c>
      <c r="P164" t="str">
        <f>_xlfn.XLOOKUP(Orders[[#This Row],[Customer ID]],customers!$A$1:$A$1001,customers!$I$1:$I$1001,,0)</f>
        <v>Yes</v>
      </c>
    </row>
    <row r="165" spans="1:16" x14ac:dyDescent="0.25">
      <c r="A165" s="2" t="s">
        <v>1407</v>
      </c>
      <c r="B165" s="3">
        <v>43619</v>
      </c>
      <c r="C165" s="2" t="s">
        <v>1408</v>
      </c>
      <c r="D165" t="s">
        <v>6163</v>
      </c>
      <c r="E165" s="2">
        <v>6</v>
      </c>
      <c r="F165" s="2" t="str">
        <f>_xlfn.XLOOKUP(orders!C165,customers!$A$2:$A$1001,customers!$B$2:$B$1001)</f>
        <v>Gerardo Schonfeld</v>
      </c>
      <c r="G165" s="2" t="str">
        <f>IF(_xlfn.XLOOKUP(C165,customers!$A$2:$A$1001,customers!$C$2:$C$1001,,)=0,"",_xlfn.XLOOKUP(C165,customers!$A$2:$A$1001,customers!$C$2:$C$1001,,))</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cm="1">
        <f t="array" ref="N165">_xlfn.IFS(I165="Rob","Robusta",I165="Exc","Excelsa",I165="Ara","Arabica",I165="Lib","Liberica")</f>
        <v>Robusta</v>
      </c>
      <c r="O165" t="str" cm="1">
        <f t="array" ref="O165">_xlfn.IFS(J165="M","Medium",J165="L","Light",J165="D","Dark")</f>
        <v>Dark</v>
      </c>
      <c r="P165" t="str">
        <f>_xlfn.XLOOKUP(Orders[[#This Row],[Customer ID]],customers!$A$1:$A$1001,customers!$I$1:$I$1001,,0)</f>
        <v>No</v>
      </c>
    </row>
    <row r="166" spans="1:16" x14ac:dyDescent="0.25">
      <c r="A166" s="2" t="s">
        <v>1413</v>
      </c>
      <c r="B166" s="3">
        <v>44182</v>
      </c>
      <c r="C166" s="2" t="s">
        <v>1414</v>
      </c>
      <c r="D166" t="s">
        <v>6144</v>
      </c>
      <c r="E166" s="2">
        <v>4</v>
      </c>
      <c r="F166" s="2" t="str">
        <f>_xlfn.XLOOKUP(orders!C166,customers!$A$2:$A$1001,customers!$B$2:$B$1001)</f>
        <v>Claiborne Feye</v>
      </c>
      <c r="G166" s="2" t="str">
        <f>IF(_xlfn.XLOOKUP(C166,customers!$A$2:$A$1001,customers!$C$2:$C$1001,,)=0,"",_xlfn.XLOOKUP(C166,customers!$A$2:$A$1001,customers!$C$2:$C$1001,,))</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cm="1">
        <f t="array" ref="N166">_xlfn.IFS(I166="Rob","Robusta",I166="Exc","Excelsa",I166="Ara","Arabica",I166="Lib","Liberica")</f>
        <v>Excelsa</v>
      </c>
      <c r="O166" t="str" cm="1">
        <f t="array" ref="O166">_xlfn.IFS(J166="M","Medium",J166="L","Light",J166="D","Dark")</f>
        <v>Dark</v>
      </c>
      <c r="P166" t="str">
        <f>_xlfn.XLOOKUP(Orders[[#This Row],[Customer ID]],customers!$A$1:$A$1001,customers!$I$1:$I$1001,,0)</f>
        <v>No</v>
      </c>
    </row>
    <row r="167" spans="1:16" x14ac:dyDescent="0.25">
      <c r="A167" s="2" t="s">
        <v>1420</v>
      </c>
      <c r="B167" s="3">
        <v>44234</v>
      </c>
      <c r="C167" s="2" t="s">
        <v>1421</v>
      </c>
      <c r="D167" t="s">
        <v>6177</v>
      </c>
      <c r="E167" s="2">
        <v>6</v>
      </c>
      <c r="F167" s="2" t="str">
        <f>_xlfn.XLOOKUP(orders!C167,customers!$A$2:$A$1001,customers!$B$2:$B$1001)</f>
        <v>Mina Elstone</v>
      </c>
      <c r="G167" s="2" t="str">
        <f>IF(_xlfn.XLOOKUP(C167,customers!$A$2:$A$1001,customers!$C$2:$C$1001,,)=0,"",_xlfn.XLOOKUP(C167,customers!$A$2:$A$1001,customers!$C$2:$C$1001,,))</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cm="1">
        <f t="array" ref="N167">_xlfn.IFS(I167="Rob","Robusta",I167="Exc","Excelsa",I167="Ara","Arabica",I167="Lib","Liberica")</f>
        <v>Robusta</v>
      </c>
      <c r="O167" t="str" cm="1">
        <f t="array" ref="O167">_xlfn.IFS(J167="M","Medium",J167="L","Light",J167="D","Dark")</f>
        <v>Dark</v>
      </c>
      <c r="P167" t="str">
        <f>_xlfn.XLOOKUP(Orders[[#This Row],[Customer ID]],customers!$A$1:$A$1001,customers!$I$1:$I$1001,,0)</f>
        <v>Yes</v>
      </c>
    </row>
    <row r="168" spans="1:16" x14ac:dyDescent="0.25">
      <c r="A168" s="2" t="s">
        <v>1425</v>
      </c>
      <c r="B168" s="3">
        <v>44270</v>
      </c>
      <c r="C168" s="2" t="s">
        <v>1426</v>
      </c>
      <c r="D168" t="s">
        <v>6172</v>
      </c>
      <c r="E168" s="2">
        <v>5</v>
      </c>
      <c r="F168" s="2" t="str">
        <f>_xlfn.XLOOKUP(orders!C168,customers!$A$2:$A$1001,customers!$B$2:$B$1001)</f>
        <v>Sherman Mewrcik</v>
      </c>
      <c r="G168" s="2" t="str">
        <f>IF(_xlfn.XLOOKUP(C168,customers!$A$2:$A$1001,customers!$C$2:$C$1001,,)=0,"",_xlfn.XLOOKUP(C168,customers!$A$2:$A$1001,customers!$C$2:$C$1001,,))</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cm="1">
        <f t="array" ref="N168">_xlfn.IFS(I168="Rob","Robusta",I168="Exc","Excelsa",I168="Ara","Arabica",I168="Lib","Liberica")</f>
        <v>Robusta</v>
      </c>
      <c r="O168" t="str" cm="1">
        <f t="array" ref="O168">_xlfn.IFS(J168="M","Medium",J168="L","Light",J168="D","Dark")</f>
        <v>Dark</v>
      </c>
      <c r="P168" t="str">
        <f>_xlfn.XLOOKUP(Orders[[#This Row],[Customer ID]],customers!$A$1:$A$1001,customers!$I$1:$I$1001,,0)</f>
        <v>Yes</v>
      </c>
    </row>
    <row r="169" spans="1:16" x14ac:dyDescent="0.25">
      <c r="A169" s="2" t="s">
        <v>1430</v>
      </c>
      <c r="B169" s="3">
        <v>44777</v>
      </c>
      <c r="C169" s="2" t="s">
        <v>1431</v>
      </c>
      <c r="D169" t="s">
        <v>6139</v>
      </c>
      <c r="E169" s="2">
        <v>5</v>
      </c>
      <c r="F169" s="2" t="str">
        <f>_xlfn.XLOOKUP(orders!C169,customers!$A$2:$A$1001,customers!$B$2:$B$1001)</f>
        <v>Tamarah Fero</v>
      </c>
      <c r="G169" s="2" t="str">
        <f>IF(_xlfn.XLOOKUP(C169,customers!$A$2:$A$1001,customers!$C$2:$C$1001,,)=0,"",_xlfn.XLOOKUP(C169,customers!$A$2:$A$1001,customers!$C$2:$C$1001,,))</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cm="1">
        <f t="array" ref="N169">_xlfn.IFS(I169="Rob","Robusta",I169="Exc","Excelsa",I169="Ara","Arabica",I169="Lib","Liberica")</f>
        <v>Excelsa</v>
      </c>
      <c r="O169" t="str" cm="1">
        <f t="array" ref="O169">_xlfn.IFS(J169="M","Medium",J169="L","Light",J169="D","Dark")</f>
        <v>Medium</v>
      </c>
      <c r="P169" t="str">
        <f>_xlfn.XLOOKUP(Orders[[#This Row],[Customer ID]],customers!$A$1:$A$1001,customers!$I$1:$I$1001,,0)</f>
        <v>Yes</v>
      </c>
    </row>
    <row r="170" spans="1:16" x14ac:dyDescent="0.25">
      <c r="A170" s="2" t="s">
        <v>1436</v>
      </c>
      <c r="B170" s="3">
        <v>43484</v>
      </c>
      <c r="C170" s="2" t="s">
        <v>1437</v>
      </c>
      <c r="D170" t="s">
        <v>6157</v>
      </c>
      <c r="E170" s="2">
        <v>6</v>
      </c>
      <c r="F170" s="2" t="str">
        <f>_xlfn.XLOOKUP(orders!C170,customers!$A$2:$A$1001,customers!$B$2:$B$1001)</f>
        <v>Stanislaus Valsler</v>
      </c>
      <c r="G170" s="2" t="str">
        <f>IF(_xlfn.XLOOKUP(C170,customers!$A$2:$A$1001,customers!$C$2:$C$1001,,)=0,"",_xlfn.XLOOKUP(C170,customers!$A$2:$A$1001,customers!$C$2:$C$1001,,))</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cm="1">
        <f t="array" ref="N170">_xlfn.IFS(I170="Rob","Robusta",I170="Exc","Excelsa",I170="Ara","Arabica",I170="Lib","Liberica")</f>
        <v>Arabica</v>
      </c>
      <c r="O170" t="str" cm="1">
        <f t="array" ref="O170">_xlfn.IFS(J170="M","Medium",J170="L","Light",J170="D","Dark")</f>
        <v>Medium</v>
      </c>
      <c r="P170" t="str">
        <f>_xlfn.XLOOKUP(Orders[[#This Row],[Customer ID]],customers!$A$1:$A$1001,customers!$I$1:$I$1001,,0)</f>
        <v>No</v>
      </c>
    </row>
    <row r="171" spans="1:16" x14ac:dyDescent="0.25">
      <c r="A171" s="2" t="s">
        <v>1441</v>
      </c>
      <c r="B171" s="3">
        <v>44643</v>
      </c>
      <c r="C171" s="2" t="s">
        <v>1442</v>
      </c>
      <c r="D171" t="s">
        <v>6177</v>
      </c>
      <c r="E171" s="2">
        <v>2</v>
      </c>
      <c r="F171" s="2" t="str">
        <f>_xlfn.XLOOKUP(orders!C171,customers!$A$2:$A$1001,customers!$B$2:$B$1001)</f>
        <v>Felita Dauney</v>
      </c>
      <c r="G171" s="2" t="str">
        <f>IF(_xlfn.XLOOKUP(C171,customers!$A$2:$A$1001,customers!$C$2:$C$1001,,)=0,"",_xlfn.XLOOKUP(C171,customers!$A$2:$A$1001,customers!$C$2:$C$1001,,))</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cm="1">
        <f t="array" ref="N171">_xlfn.IFS(I171="Rob","Robusta",I171="Exc","Excelsa",I171="Ara","Arabica",I171="Lib","Liberica")</f>
        <v>Robusta</v>
      </c>
      <c r="O171" t="str" cm="1">
        <f t="array" ref="O171">_xlfn.IFS(J171="M","Medium",J171="L","Light",J171="D","Dark")</f>
        <v>Dark</v>
      </c>
      <c r="P171" t="str">
        <f>_xlfn.XLOOKUP(Orders[[#This Row],[Customer ID]],customers!$A$1:$A$1001,customers!$I$1:$I$1001,,0)</f>
        <v>No</v>
      </c>
    </row>
    <row r="172" spans="1:16" x14ac:dyDescent="0.25">
      <c r="A172" s="2" t="s">
        <v>1448</v>
      </c>
      <c r="B172" s="3">
        <v>44476</v>
      </c>
      <c r="C172" s="2" t="s">
        <v>1449</v>
      </c>
      <c r="D172" t="s">
        <v>6148</v>
      </c>
      <c r="E172" s="2">
        <v>2</v>
      </c>
      <c r="F172" s="2" t="str">
        <f>_xlfn.XLOOKUP(orders!C172,customers!$A$2:$A$1001,customers!$B$2:$B$1001)</f>
        <v>Serena Earley</v>
      </c>
      <c r="G172" s="2" t="str">
        <f>IF(_xlfn.XLOOKUP(C172,customers!$A$2:$A$1001,customers!$C$2:$C$1001,,)=0,"",_xlfn.XLOOKUP(C172,customers!$A$2:$A$1001,customers!$C$2:$C$1001,,))</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cm="1">
        <f t="array" ref="N172">_xlfn.IFS(I172="Rob","Robusta",I172="Exc","Excelsa",I172="Ara","Arabica",I172="Lib","Liberica")</f>
        <v>Excelsa</v>
      </c>
      <c r="O172" t="str" cm="1">
        <f t="array" ref="O172">_xlfn.IFS(J172="M","Medium",J172="L","Light",J172="D","Dark")</f>
        <v>Light</v>
      </c>
      <c r="P172" t="str">
        <f>_xlfn.XLOOKUP(Orders[[#This Row],[Customer ID]],customers!$A$1:$A$1001,customers!$I$1:$I$1001,,0)</f>
        <v>No</v>
      </c>
    </row>
    <row r="173" spans="1:16" x14ac:dyDescent="0.25">
      <c r="A173" s="2" t="s">
        <v>1453</v>
      </c>
      <c r="B173" s="3">
        <v>43544</v>
      </c>
      <c r="C173" s="2" t="s">
        <v>1454</v>
      </c>
      <c r="D173" t="s">
        <v>6166</v>
      </c>
      <c r="E173" s="2">
        <v>2</v>
      </c>
      <c r="F173" s="2" t="str">
        <f>_xlfn.XLOOKUP(orders!C173,customers!$A$2:$A$1001,customers!$B$2:$B$1001)</f>
        <v>Minny Chamberlayne</v>
      </c>
      <c r="G173" s="2" t="str">
        <f>IF(_xlfn.XLOOKUP(C173,customers!$A$2:$A$1001,customers!$C$2:$C$1001,,)=0,"",_xlfn.XLOOKUP(C173,customers!$A$2:$A$1001,customers!$C$2:$C$1001,,))</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cm="1">
        <f t="array" ref="N173">_xlfn.IFS(I173="Rob","Robusta",I173="Exc","Excelsa",I173="Ara","Arabica",I173="Lib","Liberica")</f>
        <v>Excelsa</v>
      </c>
      <c r="O173" t="str" cm="1">
        <f t="array" ref="O173">_xlfn.IFS(J173="M","Medium",J173="L","Light",J173="D","Dark")</f>
        <v>Medium</v>
      </c>
      <c r="P173" t="str">
        <f>_xlfn.XLOOKUP(Orders[[#This Row],[Customer ID]],customers!$A$1:$A$1001,customers!$I$1:$I$1001,,0)</f>
        <v>Yes</v>
      </c>
    </row>
    <row r="174" spans="1:16" x14ac:dyDescent="0.25">
      <c r="A174" s="2" t="s">
        <v>1459</v>
      </c>
      <c r="B174" s="3">
        <v>44545</v>
      </c>
      <c r="C174" s="2" t="s">
        <v>1460</v>
      </c>
      <c r="D174" t="s">
        <v>6144</v>
      </c>
      <c r="E174" s="2">
        <v>3</v>
      </c>
      <c r="F174" s="2" t="str">
        <f>_xlfn.XLOOKUP(orders!C174,customers!$A$2:$A$1001,customers!$B$2:$B$1001)</f>
        <v>Bartholemy Flaherty</v>
      </c>
      <c r="G174" s="2" t="str">
        <f>IF(_xlfn.XLOOKUP(C174,customers!$A$2:$A$1001,customers!$C$2:$C$1001,,)=0,"",_xlfn.XLOOKUP(C174,customers!$A$2:$A$1001,customers!$C$2:$C$1001,,))</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cm="1">
        <f t="array" ref="N174">_xlfn.IFS(I174="Rob","Robusta",I174="Exc","Excelsa",I174="Ara","Arabica",I174="Lib","Liberica")</f>
        <v>Excelsa</v>
      </c>
      <c r="O174" t="str" cm="1">
        <f t="array" ref="O174">_xlfn.IFS(J174="M","Medium",J174="L","Light",J174="D","Dark")</f>
        <v>Dark</v>
      </c>
      <c r="P174" t="str">
        <f>_xlfn.XLOOKUP(Orders[[#This Row],[Customer ID]],customers!$A$1:$A$1001,customers!$I$1:$I$1001,,0)</f>
        <v>No</v>
      </c>
    </row>
    <row r="175" spans="1:16" x14ac:dyDescent="0.25">
      <c r="A175" s="2" t="s">
        <v>1464</v>
      </c>
      <c r="B175" s="3">
        <v>44720</v>
      </c>
      <c r="C175" s="2" t="s">
        <v>1465</v>
      </c>
      <c r="D175" t="s">
        <v>6151</v>
      </c>
      <c r="E175" s="2">
        <v>4</v>
      </c>
      <c r="F175" s="2" t="str">
        <f>_xlfn.XLOOKUP(orders!C175,customers!$A$2:$A$1001,customers!$B$2:$B$1001)</f>
        <v>Oran Colbeck</v>
      </c>
      <c r="G175" s="2" t="str">
        <f>IF(_xlfn.XLOOKUP(C175,customers!$A$2:$A$1001,customers!$C$2:$C$1001,,)=0,"",_xlfn.XLOOKUP(C175,customers!$A$2:$A$1001,customers!$C$2:$C$1001,,))</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cm="1">
        <f t="array" ref="N175">_xlfn.IFS(I175="Rob","Robusta",I175="Exc","Excelsa",I175="Ara","Arabica",I175="Lib","Liberica")</f>
        <v>Robusta</v>
      </c>
      <c r="O175" t="str" cm="1">
        <f t="array" ref="O175">_xlfn.IFS(J175="M","Medium",J175="L","Light",J175="D","Dark")</f>
        <v>Medium</v>
      </c>
      <c r="P175" t="str">
        <f>_xlfn.XLOOKUP(Orders[[#This Row],[Customer ID]],customers!$A$1:$A$1001,customers!$I$1:$I$1001,,0)</f>
        <v>No</v>
      </c>
    </row>
    <row r="176" spans="1:16" x14ac:dyDescent="0.25">
      <c r="A176" s="2" t="s">
        <v>1470</v>
      </c>
      <c r="B176" s="3">
        <v>43813</v>
      </c>
      <c r="C176" s="2" t="s">
        <v>1471</v>
      </c>
      <c r="D176" t="s">
        <v>6148</v>
      </c>
      <c r="E176" s="2">
        <v>6</v>
      </c>
      <c r="F176" s="2" t="str">
        <f>_xlfn.XLOOKUP(orders!C176,customers!$A$2:$A$1001,customers!$B$2:$B$1001)</f>
        <v>Elysee Sketch</v>
      </c>
      <c r="G176" s="2" t="str">
        <f>IF(_xlfn.XLOOKUP(C176,customers!$A$2:$A$1001,customers!$C$2:$C$1001,,)=0,"",_xlfn.XLOOKUP(C176,customers!$A$2:$A$1001,customers!$C$2:$C$1001,,))</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cm="1">
        <f t="array" ref="N176">_xlfn.IFS(I176="Rob","Robusta",I176="Exc","Excelsa",I176="Ara","Arabica",I176="Lib","Liberica")</f>
        <v>Excelsa</v>
      </c>
      <c r="O176" t="str" cm="1">
        <f t="array" ref="O176">_xlfn.IFS(J176="M","Medium",J176="L","Light",J176="D","Dark")</f>
        <v>Light</v>
      </c>
      <c r="P176" t="str">
        <f>_xlfn.XLOOKUP(Orders[[#This Row],[Customer ID]],customers!$A$1:$A$1001,customers!$I$1:$I$1001,,0)</f>
        <v>Yes</v>
      </c>
    </row>
    <row r="177" spans="1:16" x14ac:dyDescent="0.25">
      <c r="A177" s="2" t="s">
        <v>1475</v>
      </c>
      <c r="B177" s="3">
        <v>44296</v>
      </c>
      <c r="C177" s="2" t="s">
        <v>1476</v>
      </c>
      <c r="D177" t="s">
        <v>6166</v>
      </c>
      <c r="E177" s="2">
        <v>2</v>
      </c>
      <c r="F177" s="2" t="str">
        <f>_xlfn.XLOOKUP(orders!C177,customers!$A$2:$A$1001,customers!$B$2:$B$1001)</f>
        <v>Ethelda Hobbing</v>
      </c>
      <c r="G177" s="2" t="str">
        <f>IF(_xlfn.XLOOKUP(C177,customers!$A$2:$A$1001,customers!$C$2:$C$1001,,)=0,"",_xlfn.XLOOKUP(C177,customers!$A$2:$A$1001,customers!$C$2:$C$1001,,))</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cm="1">
        <f t="array" ref="N177">_xlfn.IFS(I177="Rob","Robusta",I177="Exc","Excelsa",I177="Ara","Arabica",I177="Lib","Liberica")</f>
        <v>Excelsa</v>
      </c>
      <c r="O177" t="str" cm="1">
        <f t="array" ref="O177">_xlfn.IFS(J177="M","Medium",J177="L","Light",J177="D","Dark")</f>
        <v>Medium</v>
      </c>
      <c r="P177" t="str">
        <f>_xlfn.XLOOKUP(Orders[[#This Row],[Customer ID]],customers!$A$1:$A$1001,customers!$I$1:$I$1001,,0)</f>
        <v>Yes</v>
      </c>
    </row>
    <row r="178" spans="1:16" x14ac:dyDescent="0.25">
      <c r="A178" s="2" t="s">
        <v>1481</v>
      </c>
      <c r="B178" s="3">
        <v>43900</v>
      </c>
      <c r="C178" s="2" t="s">
        <v>1482</v>
      </c>
      <c r="D178" t="s">
        <v>6148</v>
      </c>
      <c r="E178" s="2">
        <v>1</v>
      </c>
      <c r="F178" s="2" t="str">
        <f>_xlfn.XLOOKUP(orders!C178,customers!$A$2:$A$1001,customers!$B$2:$B$1001)</f>
        <v>Odille Thynne</v>
      </c>
      <c r="G178" s="2" t="str">
        <f>IF(_xlfn.XLOOKUP(C178,customers!$A$2:$A$1001,customers!$C$2:$C$1001,,)=0,"",_xlfn.XLOOKUP(C178,customers!$A$2:$A$1001,customers!$C$2:$C$1001,,))</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cm="1">
        <f t="array" ref="N178">_xlfn.IFS(I178="Rob","Robusta",I178="Exc","Excelsa",I178="Ara","Arabica",I178="Lib","Liberica")</f>
        <v>Excelsa</v>
      </c>
      <c r="O178" t="str" cm="1">
        <f t="array" ref="O178">_xlfn.IFS(J178="M","Medium",J178="L","Light",J178="D","Dark")</f>
        <v>Light</v>
      </c>
      <c r="P178" t="str">
        <f>_xlfn.XLOOKUP(Orders[[#This Row],[Customer ID]],customers!$A$1:$A$1001,customers!$I$1:$I$1001,,0)</f>
        <v>Yes</v>
      </c>
    </row>
    <row r="179" spans="1:16" x14ac:dyDescent="0.25">
      <c r="A179" s="2" t="s">
        <v>1487</v>
      </c>
      <c r="B179" s="3">
        <v>44120</v>
      </c>
      <c r="C179" s="2" t="s">
        <v>1488</v>
      </c>
      <c r="D179" t="s">
        <v>6142</v>
      </c>
      <c r="E179" s="2">
        <v>4</v>
      </c>
      <c r="F179" s="2" t="str">
        <f>_xlfn.XLOOKUP(orders!C179,customers!$A$2:$A$1001,customers!$B$2:$B$1001)</f>
        <v>Emlynne Heining</v>
      </c>
      <c r="G179" s="2" t="str">
        <f>IF(_xlfn.XLOOKUP(C179,customers!$A$2:$A$1001,customers!$C$2:$C$1001,,)=0,"",_xlfn.XLOOKUP(C179,customers!$A$2:$A$1001,customers!$C$2:$C$1001,,))</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cm="1">
        <f t="array" ref="N179">_xlfn.IFS(I179="Rob","Robusta",I179="Exc","Excelsa",I179="Ara","Arabica",I179="Lib","Liberica")</f>
        <v>Robusta</v>
      </c>
      <c r="O179" t="str" cm="1">
        <f t="array" ref="O179">_xlfn.IFS(J179="M","Medium",J179="L","Light",J179="D","Dark")</f>
        <v>Light</v>
      </c>
      <c r="P179" t="str">
        <f>_xlfn.XLOOKUP(Orders[[#This Row],[Customer ID]],customers!$A$1:$A$1001,customers!$I$1:$I$1001,,0)</f>
        <v>Yes</v>
      </c>
    </row>
    <row r="180" spans="1:16" x14ac:dyDescent="0.25">
      <c r="A180" s="2" t="s">
        <v>1492</v>
      </c>
      <c r="B180" s="3">
        <v>43746</v>
      </c>
      <c r="C180" s="2" t="s">
        <v>1493</v>
      </c>
      <c r="D180" t="s">
        <v>6140</v>
      </c>
      <c r="E180" s="2">
        <v>2</v>
      </c>
      <c r="F180" s="2" t="str">
        <f>_xlfn.XLOOKUP(orders!C180,customers!$A$2:$A$1001,customers!$B$2:$B$1001)</f>
        <v>Katerina Melloi</v>
      </c>
      <c r="G180" s="2" t="str">
        <f>IF(_xlfn.XLOOKUP(C180,customers!$A$2:$A$1001,customers!$C$2:$C$1001,,)=0,"",_xlfn.XLOOKUP(C180,customers!$A$2:$A$1001,customers!$C$2:$C$1001,,))</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cm="1">
        <f t="array" ref="N180">_xlfn.IFS(I180="Rob","Robusta",I180="Exc","Excelsa",I180="Ara","Arabica",I180="Lib","Liberica")</f>
        <v>Arabica</v>
      </c>
      <c r="O180" t="str" cm="1">
        <f t="array" ref="O180">_xlfn.IFS(J180="M","Medium",J180="L","Light",J180="D","Dark")</f>
        <v>Light</v>
      </c>
      <c r="P180" t="str">
        <f>_xlfn.XLOOKUP(Orders[[#This Row],[Customer ID]],customers!$A$1:$A$1001,customers!$I$1:$I$1001,,0)</f>
        <v>No</v>
      </c>
    </row>
    <row r="181" spans="1:16" x14ac:dyDescent="0.25">
      <c r="A181" s="2" t="s">
        <v>1498</v>
      </c>
      <c r="B181" s="3">
        <v>43830</v>
      </c>
      <c r="C181" s="2" t="s">
        <v>1499</v>
      </c>
      <c r="D181" t="s">
        <v>6154</v>
      </c>
      <c r="E181" s="2">
        <v>1</v>
      </c>
      <c r="F181" s="2" t="str">
        <f>_xlfn.XLOOKUP(orders!C181,customers!$A$2:$A$1001,customers!$B$2:$B$1001)</f>
        <v>Tiffany Scardafield</v>
      </c>
      <c r="G181" s="2" t="str">
        <f>IF(_xlfn.XLOOKUP(C181,customers!$A$2:$A$1001,customers!$C$2:$C$1001,,)=0,"",_xlfn.XLOOKUP(C181,customers!$A$2:$A$1001,customers!$C$2:$C$1001,,))</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cm="1">
        <f t="array" ref="N181">_xlfn.IFS(I181="Rob","Robusta",I181="Exc","Excelsa",I181="Ara","Arabica",I181="Lib","Liberica")</f>
        <v>Arabica</v>
      </c>
      <c r="O181" t="str" cm="1">
        <f t="array" ref="O181">_xlfn.IFS(J181="M","Medium",J181="L","Light",J181="D","Dark")</f>
        <v>Dark</v>
      </c>
      <c r="P181" t="str">
        <f>_xlfn.XLOOKUP(Orders[[#This Row],[Customer ID]],customers!$A$1:$A$1001,customers!$I$1:$I$1001,,0)</f>
        <v>No</v>
      </c>
    </row>
    <row r="182" spans="1:16" x14ac:dyDescent="0.25">
      <c r="A182" s="2" t="s">
        <v>1503</v>
      </c>
      <c r="B182" s="3">
        <v>43910</v>
      </c>
      <c r="C182" s="2" t="s">
        <v>1504</v>
      </c>
      <c r="D182" t="s">
        <v>6184</v>
      </c>
      <c r="E182" s="2">
        <v>5</v>
      </c>
      <c r="F182" s="2" t="str">
        <f>_xlfn.XLOOKUP(orders!C182,customers!$A$2:$A$1001,customers!$B$2:$B$1001)</f>
        <v>Abrahan Mussen</v>
      </c>
      <c r="G182" s="2" t="str">
        <f>IF(_xlfn.XLOOKUP(C182,customers!$A$2:$A$1001,customers!$C$2:$C$1001,,)=0,"",_xlfn.XLOOKUP(C182,customers!$A$2:$A$1001,customers!$C$2:$C$1001,,))</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cm="1">
        <f t="array" ref="N182">_xlfn.IFS(I182="Rob","Robusta",I182="Exc","Excelsa",I182="Ara","Arabica",I182="Lib","Liberica")</f>
        <v>Excelsa</v>
      </c>
      <c r="O182" t="str" cm="1">
        <f t="array" ref="O182">_xlfn.IFS(J182="M","Medium",J182="L","Light",J182="D","Dark")</f>
        <v>Light</v>
      </c>
      <c r="P182" t="str">
        <f>_xlfn.XLOOKUP(Orders[[#This Row],[Customer ID]],customers!$A$1:$A$1001,customers!$I$1:$I$1001,,0)</f>
        <v>No</v>
      </c>
    </row>
    <row r="183" spans="1:16" x14ac:dyDescent="0.25">
      <c r="A183" s="2" t="s">
        <v>1503</v>
      </c>
      <c r="B183" s="3">
        <v>43910</v>
      </c>
      <c r="C183" s="2" t="s">
        <v>1504</v>
      </c>
      <c r="D183" t="s">
        <v>6158</v>
      </c>
      <c r="E183" s="2">
        <v>5</v>
      </c>
      <c r="F183" s="2" t="str">
        <f>_xlfn.XLOOKUP(orders!C183,customers!$A$2:$A$1001,customers!$B$2:$B$1001)</f>
        <v>Abrahan Mussen</v>
      </c>
      <c r="G183" s="2" t="str">
        <f>IF(_xlfn.XLOOKUP(C183,customers!$A$2:$A$1001,customers!$C$2:$C$1001,,)=0,"",_xlfn.XLOOKUP(C183,customers!$A$2:$A$1001,customers!$C$2:$C$1001,,))</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cm="1">
        <f t="array" ref="N183">_xlfn.IFS(I183="Rob","Robusta",I183="Exc","Excelsa",I183="Ara","Arabica",I183="Lib","Liberica")</f>
        <v>Arabica</v>
      </c>
      <c r="O183" t="str" cm="1">
        <f t="array" ref="O183">_xlfn.IFS(J183="M","Medium",J183="L","Light",J183="D","Dark")</f>
        <v>Dark</v>
      </c>
      <c r="P183" t="str">
        <f>_xlfn.XLOOKUP(Orders[[#This Row],[Customer ID]],customers!$A$1:$A$1001,customers!$I$1:$I$1001,,0)</f>
        <v>No</v>
      </c>
    </row>
    <row r="184" spans="1:16" x14ac:dyDescent="0.25">
      <c r="A184" s="2" t="s">
        <v>1514</v>
      </c>
      <c r="B184" s="3">
        <v>44284</v>
      </c>
      <c r="C184" s="2" t="s">
        <v>1515</v>
      </c>
      <c r="D184" t="s">
        <v>6172</v>
      </c>
      <c r="E184" s="2">
        <v>6</v>
      </c>
      <c r="F184" s="2" t="str">
        <f>_xlfn.XLOOKUP(orders!C184,customers!$A$2:$A$1001,customers!$B$2:$B$1001)</f>
        <v>Anny Mundford</v>
      </c>
      <c r="G184" s="2" t="str">
        <f>IF(_xlfn.XLOOKUP(C184,customers!$A$2:$A$1001,customers!$C$2:$C$1001,,)=0,"",_xlfn.XLOOKUP(C184,customers!$A$2:$A$1001,customers!$C$2:$C$1001,,))</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cm="1">
        <f t="array" ref="N184">_xlfn.IFS(I184="Rob","Robusta",I184="Exc","Excelsa",I184="Ara","Arabica",I184="Lib","Liberica")</f>
        <v>Robusta</v>
      </c>
      <c r="O184" t="str" cm="1">
        <f t="array" ref="O184">_xlfn.IFS(J184="M","Medium",J184="L","Light",J184="D","Dark")</f>
        <v>Dark</v>
      </c>
      <c r="P184" t="str">
        <f>_xlfn.XLOOKUP(Orders[[#This Row],[Customer ID]],customers!$A$1:$A$1001,customers!$I$1:$I$1001,,0)</f>
        <v>No</v>
      </c>
    </row>
    <row r="185" spans="1:16" x14ac:dyDescent="0.25">
      <c r="A185" s="2" t="s">
        <v>1520</v>
      </c>
      <c r="B185" s="3">
        <v>44512</v>
      </c>
      <c r="C185" s="2" t="s">
        <v>1521</v>
      </c>
      <c r="D185" t="s">
        <v>6156</v>
      </c>
      <c r="E185" s="2">
        <v>2</v>
      </c>
      <c r="F185" s="2" t="str">
        <f>_xlfn.XLOOKUP(orders!C185,customers!$A$2:$A$1001,customers!$B$2:$B$1001)</f>
        <v>Tory Walas</v>
      </c>
      <c r="G185" s="2" t="str">
        <f>IF(_xlfn.XLOOKUP(C185,customers!$A$2:$A$1001,customers!$C$2:$C$1001,,)=0,"",_xlfn.XLOOKUP(C185,customers!$A$2:$A$1001,customers!$C$2:$C$1001,,))</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cm="1">
        <f t="array" ref="N185">_xlfn.IFS(I185="Rob","Robusta",I185="Exc","Excelsa",I185="Ara","Arabica",I185="Lib","Liberica")</f>
        <v>Excelsa</v>
      </c>
      <c r="O185" t="str" cm="1">
        <f t="array" ref="O185">_xlfn.IFS(J185="M","Medium",J185="L","Light",J185="D","Dark")</f>
        <v>Medium</v>
      </c>
      <c r="P185" t="str">
        <f>_xlfn.XLOOKUP(Orders[[#This Row],[Customer ID]],customers!$A$1:$A$1001,customers!$I$1:$I$1001,,0)</f>
        <v>No</v>
      </c>
    </row>
    <row r="186" spans="1:16" x14ac:dyDescent="0.25">
      <c r="A186" s="2" t="s">
        <v>1526</v>
      </c>
      <c r="B186" s="3">
        <v>44397</v>
      </c>
      <c r="C186" s="2" t="s">
        <v>1527</v>
      </c>
      <c r="D186" t="s">
        <v>6180</v>
      </c>
      <c r="E186" s="2">
        <v>4</v>
      </c>
      <c r="F186" s="2" t="str">
        <f>_xlfn.XLOOKUP(orders!C186,customers!$A$2:$A$1001,customers!$B$2:$B$1001)</f>
        <v>Isa Blazewicz</v>
      </c>
      <c r="G186" s="2" t="str">
        <f>IF(_xlfn.XLOOKUP(C186,customers!$A$2:$A$1001,customers!$C$2:$C$1001,,)=0,"",_xlfn.XLOOKUP(C186,customers!$A$2:$A$1001,customers!$C$2:$C$1001,,))</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cm="1">
        <f t="array" ref="N186">_xlfn.IFS(I186="Rob","Robusta",I186="Exc","Excelsa",I186="Ara","Arabica",I186="Lib","Liberica")</f>
        <v>Arabica</v>
      </c>
      <c r="O186" t="str" cm="1">
        <f t="array" ref="O186">_xlfn.IFS(J186="M","Medium",J186="L","Light",J186="D","Dark")</f>
        <v>Light</v>
      </c>
      <c r="P186" t="str">
        <f>_xlfn.XLOOKUP(Orders[[#This Row],[Customer ID]],customers!$A$1:$A$1001,customers!$I$1:$I$1001,,0)</f>
        <v>No</v>
      </c>
    </row>
    <row r="187" spans="1:16" x14ac:dyDescent="0.25">
      <c r="A187" s="2" t="s">
        <v>1532</v>
      </c>
      <c r="B187" s="3">
        <v>43483</v>
      </c>
      <c r="C187" s="2" t="s">
        <v>1533</v>
      </c>
      <c r="D187" t="s">
        <v>6144</v>
      </c>
      <c r="E187" s="2">
        <v>5</v>
      </c>
      <c r="F187" s="2" t="str">
        <f>_xlfn.XLOOKUP(orders!C187,customers!$A$2:$A$1001,customers!$B$2:$B$1001)</f>
        <v>Angie Rizzetti</v>
      </c>
      <c r="G187" s="2" t="str">
        <f>IF(_xlfn.XLOOKUP(C187,customers!$A$2:$A$1001,customers!$C$2:$C$1001,,)=0,"",_xlfn.XLOOKUP(C187,customers!$A$2:$A$1001,customers!$C$2:$C$1001,,))</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cm="1">
        <f t="array" ref="N187">_xlfn.IFS(I187="Rob","Robusta",I187="Exc","Excelsa",I187="Ara","Arabica",I187="Lib","Liberica")</f>
        <v>Excelsa</v>
      </c>
      <c r="O187" t="str" cm="1">
        <f t="array" ref="O187">_xlfn.IFS(J187="M","Medium",J187="L","Light",J187="D","Dark")</f>
        <v>Dark</v>
      </c>
      <c r="P187" t="str">
        <f>_xlfn.XLOOKUP(Orders[[#This Row],[Customer ID]],customers!$A$1:$A$1001,customers!$I$1:$I$1001,,0)</f>
        <v>Yes</v>
      </c>
    </row>
    <row r="188" spans="1:16" x14ac:dyDescent="0.25">
      <c r="A188" s="2" t="s">
        <v>1538</v>
      </c>
      <c r="B188" s="3">
        <v>43684</v>
      </c>
      <c r="C188" s="2" t="s">
        <v>1539</v>
      </c>
      <c r="D188" t="s">
        <v>6151</v>
      </c>
      <c r="E188" s="2">
        <v>3</v>
      </c>
      <c r="F188" s="2" t="str">
        <f>_xlfn.XLOOKUP(orders!C188,customers!$A$2:$A$1001,customers!$B$2:$B$1001)</f>
        <v>Mord Meriet</v>
      </c>
      <c r="G188" s="2" t="str">
        <f>IF(_xlfn.XLOOKUP(C188,customers!$A$2:$A$1001,customers!$C$2:$C$1001,,)=0,"",_xlfn.XLOOKUP(C188,customers!$A$2:$A$1001,customers!$C$2:$C$1001,,))</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cm="1">
        <f t="array" ref="N188">_xlfn.IFS(I188="Rob","Robusta",I188="Exc","Excelsa",I188="Ara","Arabica",I188="Lib","Liberica")</f>
        <v>Robusta</v>
      </c>
      <c r="O188" t="str" cm="1">
        <f t="array" ref="O188">_xlfn.IFS(J188="M","Medium",J188="L","Light",J188="D","Dark")</f>
        <v>Medium</v>
      </c>
      <c r="P188" t="str">
        <f>_xlfn.XLOOKUP(Orders[[#This Row],[Customer ID]],customers!$A$1:$A$1001,customers!$I$1:$I$1001,,0)</f>
        <v>No</v>
      </c>
    </row>
    <row r="189" spans="1:16" x14ac:dyDescent="0.25">
      <c r="A189" s="2" t="s">
        <v>1544</v>
      </c>
      <c r="B189" s="3">
        <v>44633</v>
      </c>
      <c r="C189" s="2" t="s">
        <v>1545</v>
      </c>
      <c r="D189" t="s">
        <v>6160</v>
      </c>
      <c r="E189" s="2">
        <v>5</v>
      </c>
      <c r="F189" s="2" t="str">
        <f>_xlfn.XLOOKUP(orders!C189,customers!$A$2:$A$1001,customers!$B$2:$B$1001)</f>
        <v>Lawrence Pratt</v>
      </c>
      <c r="G189" s="2" t="str">
        <f>IF(_xlfn.XLOOKUP(C189,customers!$A$2:$A$1001,customers!$C$2:$C$1001,,)=0,"",_xlfn.XLOOKUP(C189,customers!$A$2:$A$1001,customers!$C$2:$C$1001,,))</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cm="1">
        <f t="array" ref="N189">_xlfn.IFS(I189="Rob","Robusta",I189="Exc","Excelsa",I189="Ara","Arabica",I189="Lib","Liberica")</f>
        <v>Liberica</v>
      </c>
      <c r="O189" t="str" cm="1">
        <f t="array" ref="O189">_xlfn.IFS(J189="M","Medium",J189="L","Light",J189="D","Dark")</f>
        <v>Medium</v>
      </c>
      <c r="P189" t="str">
        <f>_xlfn.XLOOKUP(Orders[[#This Row],[Customer ID]],customers!$A$1:$A$1001,customers!$I$1:$I$1001,,0)</f>
        <v>Yes</v>
      </c>
    </row>
    <row r="190" spans="1:16" x14ac:dyDescent="0.25">
      <c r="A190" s="2" t="s">
        <v>1549</v>
      </c>
      <c r="B190" s="3">
        <v>44698</v>
      </c>
      <c r="C190" s="2" t="s">
        <v>1550</v>
      </c>
      <c r="D190" t="s">
        <v>6184</v>
      </c>
      <c r="E190" s="2">
        <v>1</v>
      </c>
      <c r="F190" s="2" t="str">
        <f>_xlfn.XLOOKUP(orders!C190,customers!$A$2:$A$1001,customers!$B$2:$B$1001)</f>
        <v>Astrix Kitchingham</v>
      </c>
      <c r="G190" s="2" t="str">
        <f>IF(_xlfn.XLOOKUP(C190,customers!$A$2:$A$1001,customers!$C$2:$C$1001,,)=0,"",_xlfn.XLOOKUP(C190,customers!$A$2:$A$1001,customers!$C$2:$C$1001,,))</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cm="1">
        <f t="array" ref="N190">_xlfn.IFS(I190="Rob","Robusta",I190="Exc","Excelsa",I190="Ara","Arabica",I190="Lib","Liberica")</f>
        <v>Excelsa</v>
      </c>
      <c r="O190" t="str" cm="1">
        <f t="array" ref="O190">_xlfn.IFS(J190="M","Medium",J190="L","Light",J190="D","Dark")</f>
        <v>Light</v>
      </c>
      <c r="P190" t="str">
        <f>_xlfn.XLOOKUP(Orders[[#This Row],[Customer ID]],customers!$A$1:$A$1001,customers!$I$1:$I$1001,,0)</f>
        <v>Yes</v>
      </c>
    </row>
    <row r="191" spans="1:16" x14ac:dyDescent="0.25">
      <c r="A191" s="2" t="s">
        <v>1555</v>
      </c>
      <c r="B191" s="3">
        <v>43813</v>
      </c>
      <c r="C191" s="2" t="s">
        <v>1556</v>
      </c>
      <c r="D191" t="s">
        <v>6162</v>
      </c>
      <c r="E191" s="2">
        <v>3</v>
      </c>
      <c r="F191" s="2" t="str">
        <f>_xlfn.XLOOKUP(orders!C191,customers!$A$2:$A$1001,customers!$B$2:$B$1001)</f>
        <v>Burnard Bartholin</v>
      </c>
      <c r="G191" s="2" t="str">
        <f>IF(_xlfn.XLOOKUP(C191,customers!$A$2:$A$1001,customers!$C$2:$C$1001,,)=0,"",_xlfn.XLOOKUP(C191,customers!$A$2:$A$1001,customers!$C$2:$C$1001,,))</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cm="1">
        <f t="array" ref="N191">_xlfn.IFS(I191="Rob","Robusta",I191="Exc","Excelsa",I191="Ara","Arabica",I191="Lib","Liberica")</f>
        <v>Liberica</v>
      </c>
      <c r="O191" t="str" cm="1">
        <f t="array" ref="O191">_xlfn.IFS(J191="M","Medium",J191="L","Light",J191="D","Dark")</f>
        <v>Medium</v>
      </c>
      <c r="P191" t="str">
        <f>_xlfn.XLOOKUP(Orders[[#This Row],[Customer ID]],customers!$A$1:$A$1001,customers!$I$1:$I$1001,,0)</f>
        <v>Yes</v>
      </c>
    </row>
    <row r="192" spans="1:16" x14ac:dyDescent="0.25">
      <c r="A192" s="2" t="s">
        <v>1561</v>
      </c>
      <c r="B192" s="3">
        <v>43845</v>
      </c>
      <c r="C192" s="2" t="s">
        <v>1562</v>
      </c>
      <c r="D192" t="s">
        <v>6181</v>
      </c>
      <c r="E192" s="2">
        <v>1</v>
      </c>
      <c r="F192" s="2" t="str">
        <f>_xlfn.XLOOKUP(orders!C192,customers!$A$2:$A$1001,customers!$B$2:$B$1001)</f>
        <v>Madelene Prinn</v>
      </c>
      <c r="G192" s="2" t="str">
        <f>IF(_xlfn.XLOOKUP(C192,customers!$A$2:$A$1001,customers!$C$2:$C$1001,,)=0,"",_xlfn.XLOOKUP(C192,customers!$A$2:$A$1001,customers!$C$2:$C$1001,,))</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cm="1">
        <f t="array" ref="N192">_xlfn.IFS(I192="Rob","Robusta",I192="Exc","Excelsa",I192="Ara","Arabica",I192="Lib","Liberica")</f>
        <v>Liberica</v>
      </c>
      <c r="O192" t="str" cm="1">
        <f t="array" ref="O192">_xlfn.IFS(J192="M","Medium",J192="L","Light",J192="D","Dark")</f>
        <v>Medium</v>
      </c>
      <c r="P192" t="str">
        <f>_xlfn.XLOOKUP(Orders[[#This Row],[Customer ID]],customers!$A$1:$A$1001,customers!$I$1:$I$1001,,0)</f>
        <v>Yes</v>
      </c>
    </row>
    <row r="193" spans="1:16" x14ac:dyDescent="0.25">
      <c r="A193" s="2" t="s">
        <v>1567</v>
      </c>
      <c r="B193" s="3">
        <v>43567</v>
      </c>
      <c r="C193" s="2" t="s">
        <v>1568</v>
      </c>
      <c r="D193" t="s">
        <v>6150</v>
      </c>
      <c r="E193" s="2">
        <v>5</v>
      </c>
      <c r="F193" s="2" t="str">
        <f>_xlfn.XLOOKUP(orders!C193,customers!$A$2:$A$1001,customers!$B$2:$B$1001)</f>
        <v>Alisun Baudino</v>
      </c>
      <c r="G193" s="2" t="str">
        <f>IF(_xlfn.XLOOKUP(C193,customers!$A$2:$A$1001,customers!$C$2:$C$1001,,)=0,"",_xlfn.XLOOKUP(C193,customers!$A$2:$A$1001,customers!$C$2:$C$1001,,))</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cm="1">
        <f t="array" ref="N193">_xlfn.IFS(I193="Rob","Robusta",I193="Exc","Excelsa",I193="Ara","Arabica",I193="Lib","Liberica")</f>
        <v>Liberica</v>
      </c>
      <c r="O193" t="str" cm="1">
        <f t="array" ref="O193">_xlfn.IFS(J193="M","Medium",J193="L","Light",J193="D","Dark")</f>
        <v>Dark</v>
      </c>
      <c r="P193" t="str">
        <f>_xlfn.XLOOKUP(Orders[[#This Row],[Customer ID]],customers!$A$1:$A$1001,customers!$I$1:$I$1001,,0)</f>
        <v>Yes</v>
      </c>
    </row>
    <row r="194" spans="1:16" x14ac:dyDescent="0.25">
      <c r="A194" s="2" t="s">
        <v>1573</v>
      </c>
      <c r="B194" s="3">
        <v>43919</v>
      </c>
      <c r="C194" s="2" t="s">
        <v>1574</v>
      </c>
      <c r="D194" t="s">
        <v>6183</v>
      </c>
      <c r="E194" s="2">
        <v>6</v>
      </c>
      <c r="F194" s="2" t="str">
        <f>_xlfn.XLOOKUP(orders!C194,customers!$A$2:$A$1001,customers!$B$2:$B$1001)</f>
        <v>Philipa Petrushanko</v>
      </c>
      <c r="G194" s="2" t="str">
        <f>IF(_xlfn.XLOOKUP(C194,customers!$A$2:$A$1001,customers!$C$2:$C$1001,,)=0,"",_xlfn.XLOOKUP(C194,customers!$A$2:$A$1001,customers!$C$2:$C$1001,,))</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cm="1">
        <f t="array" ref="N194">_xlfn.IFS(I194="Rob","Robusta",I194="Exc","Excelsa",I194="Ara","Arabica",I194="Lib","Liberica")</f>
        <v>Excelsa</v>
      </c>
      <c r="O194" t="str" cm="1">
        <f t="array" ref="O194">_xlfn.IFS(J194="M","Medium",J194="L","Light",J194="D","Dark")</f>
        <v>Dark</v>
      </c>
      <c r="P194" t="str">
        <f>_xlfn.XLOOKUP(Orders[[#This Row],[Customer ID]],customers!$A$1:$A$1001,customers!$I$1:$I$1001,,0)</f>
        <v>Yes</v>
      </c>
    </row>
    <row r="195" spans="1:16" x14ac:dyDescent="0.25">
      <c r="A195" s="2" t="s">
        <v>1579</v>
      </c>
      <c r="B195" s="3">
        <v>44644</v>
      </c>
      <c r="C195" s="2" t="s">
        <v>1580</v>
      </c>
      <c r="D195" t="s">
        <v>6171</v>
      </c>
      <c r="E195" s="2">
        <v>3</v>
      </c>
      <c r="F195" s="2" t="str">
        <f>_xlfn.XLOOKUP(orders!C195,customers!$A$2:$A$1001,customers!$B$2:$B$1001)</f>
        <v>Kimberli Mustchin</v>
      </c>
      <c r="G195" s="2" t="str">
        <f>IF(_xlfn.XLOOKUP(C195,customers!$A$2:$A$1001,customers!$C$2:$C$1001,,)=0,"",_xlfn.XLOOKUP(C195,customers!$A$2:$A$1001,customers!$C$2:$C$1001,,))</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L195*E195</f>
        <v>44.55</v>
      </c>
      <c r="N195" t="str" cm="1">
        <f t="array" ref="N195">_xlfn.IFS(I195="Rob","Robusta",I195="Exc","Excelsa",I195="Ara","Arabica",I195="Lib","Liberica")</f>
        <v>Excelsa</v>
      </c>
      <c r="O195" t="str" cm="1">
        <f t="array" ref="O195">_xlfn.IFS(J195="M","Medium",J195="L","Light",J195="D","Dark")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_xlfn.XLOOKUP(orders!C196,customers!$A$2:$A$1001,customers!$B$2:$B$1001)</f>
        <v>Emlynne Laird</v>
      </c>
      <c r="G196" s="2" t="str">
        <f>IF(_xlfn.XLOOKUP(C196,customers!$A$2:$A$1001,customers!$C$2:$C$1001,,)=0,"",_xlfn.XLOOKUP(C196,customers!$A$2:$A$1001,customers!$C$2:$C$1001,,))</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cm="1">
        <f t="array" ref="N196">_xlfn.IFS(I196="Rob","Robusta",I196="Exc","Excelsa",I196="Ara","Arabica",I196="Lib","Liberica")</f>
        <v>Excelsa</v>
      </c>
      <c r="O196" t="str" cm="1">
        <f t="array" ref="O196">_xlfn.IFS(J196="M","Medium",J196="L","Light",J196="D","Dark")</f>
        <v>Dark</v>
      </c>
      <c r="P196" t="str">
        <f>_xlfn.XLOOKUP(Orders[[#This Row],[Customer ID]],customers!$A$1:$A$1001,customers!$I$1:$I$1001,,0)</f>
        <v>No</v>
      </c>
    </row>
    <row r="197" spans="1:16" x14ac:dyDescent="0.25">
      <c r="A197" s="2" t="s">
        <v>1590</v>
      </c>
      <c r="B197" s="3">
        <v>43683</v>
      </c>
      <c r="C197" s="2" t="s">
        <v>1591</v>
      </c>
      <c r="D197" t="s">
        <v>6140</v>
      </c>
      <c r="E197" s="2">
        <v>3</v>
      </c>
      <c r="F197" s="2" t="str">
        <f>_xlfn.XLOOKUP(orders!C197,customers!$A$2:$A$1001,customers!$B$2:$B$1001)</f>
        <v>Marlena Howsden</v>
      </c>
      <c r="G197" s="2" t="str">
        <f>IF(_xlfn.XLOOKUP(C197,customers!$A$2:$A$1001,customers!$C$2:$C$1001,,)=0,"",_xlfn.XLOOKUP(C197,customers!$A$2:$A$1001,customers!$C$2:$C$1001,,))</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cm="1">
        <f t="array" ref="N197">_xlfn.IFS(I197="Rob","Robusta",I197="Exc","Excelsa",I197="Ara","Arabica",I197="Lib","Liberica")</f>
        <v>Arabica</v>
      </c>
      <c r="O197" t="str" cm="1">
        <f t="array" ref="O197">_xlfn.IFS(J197="M","Medium",J197="L","Light",J197="D","Dark")</f>
        <v>Light</v>
      </c>
      <c r="P197" t="str">
        <f>_xlfn.XLOOKUP(Orders[[#This Row],[Customer ID]],customers!$A$1:$A$1001,customers!$I$1:$I$1001,,0)</f>
        <v>No</v>
      </c>
    </row>
    <row r="198" spans="1:16" x14ac:dyDescent="0.25">
      <c r="A198" s="2" t="s">
        <v>1596</v>
      </c>
      <c r="B198" s="3">
        <v>44339</v>
      </c>
      <c r="C198" s="2" t="s">
        <v>1597</v>
      </c>
      <c r="D198" t="s">
        <v>6176</v>
      </c>
      <c r="E198" s="2">
        <v>6</v>
      </c>
      <c r="F198" s="2" t="str">
        <f>_xlfn.XLOOKUP(orders!C198,customers!$A$2:$A$1001,customers!$B$2:$B$1001)</f>
        <v>Nealson Cuttler</v>
      </c>
      <c r="G198" s="2" t="str">
        <f>IF(_xlfn.XLOOKUP(C198,customers!$A$2:$A$1001,customers!$C$2:$C$1001,,)=0,"",_xlfn.XLOOKUP(C198,customers!$A$2:$A$1001,customers!$C$2:$C$1001,,))</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cm="1">
        <f t="array" ref="N198">_xlfn.IFS(I198="Rob","Robusta",I198="Exc","Excelsa",I198="Ara","Arabica",I198="Lib","Liberica")</f>
        <v>Excelsa</v>
      </c>
      <c r="O198" t="str" cm="1">
        <f t="array" ref="O198">_xlfn.IFS(J198="M","Medium",J198="L","Light",J198="D","Dark")</f>
        <v>Light</v>
      </c>
      <c r="P198" t="str">
        <f>_xlfn.XLOOKUP(Orders[[#This Row],[Customer ID]],customers!$A$1:$A$1001,customers!$I$1:$I$1001,,0)</f>
        <v>No</v>
      </c>
    </row>
    <row r="199" spans="1:16" x14ac:dyDescent="0.25">
      <c r="A199" s="2" t="s">
        <v>1596</v>
      </c>
      <c r="B199" s="3">
        <v>44339</v>
      </c>
      <c r="C199" s="2" t="s">
        <v>1597</v>
      </c>
      <c r="D199" t="s">
        <v>6165</v>
      </c>
      <c r="E199" s="2">
        <v>2</v>
      </c>
      <c r="F199" s="2" t="str">
        <f>_xlfn.XLOOKUP(orders!C199,customers!$A$2:$A$1001,customers!$B$2:$B$1001)</f>
        <v>Nealson Cuttler</v>
      </c>
      <c r="G199" s="2" t="str">
        <f>IF(_xlfn.XLOOKUP(C199,customers!$A$2:$A$1001,customers!$C$2:$C$1001,,)=0,"",_xlfn.XLOOKUP(C199,customers!$A$2:$A$1001,customers!$C$2:$C$1001,,))</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cm="1">
        <f t="array" ref="N199">_xlfn.IFS(I199="Rob","Robusta",I199="Exc","Excelsa",I199="Ara","Arabica",I199="Lib","Liberica")</f>
        <v>Liberica</v>
      </c>
      <c r="O199" t="str" cm="1">
        <f t="array" ref="O199">_xlfn.IFS(J199="M","Medium",J199="L","Light",J199="D","Dark")</f>
        <v>Dark</v>
      </c>
      <c r="P199" t="str">
        <f>_xlfn.XLOOKUP(Orders[[#This Row],[Customer ID]],customers!$A$1:$A$1001,customers!$I$1:$I$1001,,0)</f>
        <v>No</v>
      </c>
    </row>
    <row r="200" spans="1:16" x14ac:dyDescent="0.25">
      <c r="A200" s="2" t="s">
        <v>1596</v>
      </c>
      <c r="B200" s="3">
        <v>44339</v>
      </c>
      <c r="C200" s="2" t="s">
        <v>1597</v>
      </c>
      <c r="D200" t="s">
        <v>6165</v>
      </c>
      <c r="E200" s="2">
        <v>3</v>
      </c>
      <c r="F200" s="2" t="str">
        <f>_xlfn.XLOOKUP(orders!C200,customers!$A$2:$A$1001,customers!$B$2:$B$1001)</f>
        <v>Nealson Cuttler</v>
      </c>
      <c r="G200" s="2" t="str">
        <f>IF(_xlfn.XLOOKUP(C200,customers!$A$2:$A$1001,customers!$C$2:$C$1001,,)=0,"",_xlfn.XLOOKUP(C200,customers!$A$2:$A$1001,customers!$C$2:$C$1001,,))</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cm="1">
        <f t="array" ref="N200">_xlfn.IFS(I200="Rob","Robusta",I200="Exc","Excelsa",I200="Ara","Arabica",I200="Lib","Liberica")</f>
        <v>Liberica</v>
      </c>
      <c r="O200" t="str" cm="1">
        <f t="array" ref="O200">_xlfn.IFS(J200="M","Medium",J200="L","Light",J200="D","Dark")</f>
        <v>Dark</v>
      </c>
      <c r="P200" t="str">
        <f>_xlfn.XLOOKUP(Orders[[#This Row],[Customer ID]],customers!$A$1:$A$1001,customers!$I$1:$I$1001,,0)</f>
        <v>No</v>
      </c>
    </row>
    <row r="201" spans="1:16" x14ac:dyDescent="0.25">
      <c r="A201" s="2" t="s">
        <v>1596</v>
      </c>
      <c r="B201" s="3">
        <v>44339</v>
      </c>
      <c r="C201" s="2" t="s">
        <v>1597</v>
      </c>
      <c r="D201" t="s">
        <v>6161</v>
      </c>
      <c r="E201" s="2">
        <v>4</v>
      </c>
      <c r="F201" s="2" t="str">
        <f>_xlfn.XLOOKUP(orders!C201,customers!$A$2:$A$1001,customers!$B$2:$B$1001)</f>
        <v>Nealson Cuttler</v>
      </c>
      <c r="G201" s="2" t="str">
        <f>IF(_xlfn.XLOOKUP(C201,customers!$A$2:$A$1001,customers!$C$2:$C$1001,,)=0,"",_xlfn.XLOOKUP(C201,customers!$A$2:$A$1001,customers!$C$2:$C$1001,,))</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cm="1">
        <f t="array" ref="N201">_xlfn.IFS(I201="Rob","Robusta",I201="Exc","Excelsa",I201="Ara","Arabica",I201="Lib","Liberica")</f>
        <v>Liberica</v>
      </c>
      <c r="O201" t="str" cm="1">
        <f t="array" ref="O201">_xlfn.IFS(J201="M","Medium",J201="L","Light",J201="D","Dark")</f>
        <v>Light</v>
      </c>
      <c r="P201" t="str">
        <f>_xlfn.XLOOKUP(Orders[[#This Row],[Customer ID]],customers!$A$1:$A$1001,customers!$I$1:$I$1001,,0)</f>
        <v>No</v>
      </c>
    </row>
    <row r="202" spans="1:16" x14ac:dyDescent="0.25">
      <c r="A202" s="2" t="s">
        <v>1596</v>
      </c>
      <c r="B202" s="3">
        <v>44339</v>
      </c>
      <c r="C202" s="2" t="s">
        <v>1597</v>
      </c>
      <c r="D202" t="s">
        <v>6141</v>
      </c>
      <c r="E202" s="2">
        <v>3</v>
      </c>
      <c r="F202" s="2" t="str">
        <f>_xlfn.XLOOKUP(orders!C202,customers!$A$2:$A$1001,customers!$B$2:$B$1001)</f>
        <v>Nealson Cuttler</v>
      </c>
      <c r="G202" s="2" t="str">
        <f>IF(_xlfn.XLOOKUP(C202,customers!$A$2:$A$1001,customers!$C$2:$C$1001,,)=0,"",_xlfn.XLOOKUP(C202,customers!$A$2:$A$1001,customers!$C$2:$C$1001,,))</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cm="1">
        <f t="array" ref="N202">_xlfn.IFS(I202="Rob","Robusta",I202="Exc","Excelsa",I202="Ara","Arabica",I202="Lib","Liberica")</f>
        <v>Excelsa</v>
      </c>
      <c r="O202" t="str" cm="1">
        <f t="array" ref="O202">_xlfn.IFS(J202="M","Medium",J202="L","Light",J202="D","Dark")</f>
        <v>Medium</v>
      </c>
      <c r="P202" t="str">
        <f>_xlfn.XLOOKUP(Orders[[#This Row],[Customer ID]],customers!$A$1:$A$1001,customers!$I$1:$I$1001,,0)</f>
        <v>No</v>
      </c>
    </row>
    <row r="203" spans="1:16" x14ac:dyDescent="0.25">
      <c r="A203" s="2" t="s">
        <v>1621</v>
      </c>
      <c r="B203" s="3">
        <v>44294</v>
      </c>
      <c r="C203" s="2" t="s">
        <v>1622</v>
      </c>
      <c r="D203" t="s">
        <v>6161</v>
      </c>
      <c r="E203" s="2">
        <v>6</v>
      </c>
      <c r="F203" s="2" t="str">
        <f>_xlfn.XLOOKUP(orders!C203,customers!$A$2:$A$1001,customers!$B$2:$B$1001)</f>
        <v>Adriana Lazarus</v>
      </c>
      <c r="G203" s="2" t="str">
        <f>IF(_xlfn.XLOOKUP(C203,customers!$A$2:$A$1001,customers!$C$2:$C$1001,,)=0,"",_xlfn.XLOOKUP(C203,customers!$A$2:$A$1001,customers!$C$2:$C$1001,,))</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cm="1">
        <f t="array" ref="N203">_xlfn.IFS(I203="Rob","Robusta",I203="Exc","Excelsa",I203="Ara","Arabica",I203="Lib","Liberica")</f>
        <v>Liberica</v>
      </c>
      <c r="O203" t="str" cm="1">
        <f t="array" ref="O203">_xlfn.IFS(J203="M","Medium",J203="L","Light",J203="D","Dark")</f>
        <v>Light</v>
      </c>
      <c r="P203" t="str">
        <f>_xlfn.XLOOKUP(Orders[[#This Row],[Customer ID]],customers!$A$1:$A$1001,customers!$I$1:$I$1001,,0)</f>
        <v>No</v>
      </c>
    </row>
    <row r="204" spans="1:16" x14ac:dyDescent="0.25">
      <c r="A204" s="2" t="s">
        <v>1626</v>
      </c>
      <c r="B204" s="3">
        <v>44486</v>
      </c>
      <c r="C204" s="2" t="s">
        <v>1627</v>
      </c>
      <c r="D204" t="s">
        <v>6165</v>
      </c>
      <c r="E204" s="2">
        <v>6</v>
      </c>
      <c r="F204" s="2" t="str">
        <f>_xlfn.XLOOKUP(orders!C204,customers!$A$2:$A$1001,customers!$B$2:$B$1001)</f>
        <v>Tallie felip</v>
      </c>
      <c r="G204" s="2" t="str">
        <f>IF(_xlfn.XLOOKUP(C204,customers!$A$2:$A$1001,customers!$C$2:$C$1001,,)=0,"",_xlfn.XLOOKUP(C204,customers!$A$2:$A$1001,customers!$C$2:$C$1001,,))</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cm="1">
        <f t="array" ref="N204">_xlfn.IFS(I204="Rob","Robusta",I204="Exc","Excelsa",I204="Ara","Arabica",I204="Lib","Liberica")</f>
        <v>Liberica</v>
      </c>
      <c r="O204" t="str" cm="1">
        <f t="array" ref="O204">_xlfn.IFS(J204="M","Medium",J204="L","Light",J204="D","Dark")</f>
        <v>Dark</v>
      </c>
      <c r="P204" t="str">
        <f>_xlfn.XLOOKUP(Orders[[#This Row],[Customer ID]],customers!$A$1:$A$1001,customers!$I$1:$I$1001,,0)</f>
        <v>Yes</v>
      </c>
    </row>
    <row r="205" spans="1:16" x14ac:dyDescent="0.25">
      <c r="A205" s="2" t="s">
        <v>1632</v>
      </c>
      <c r="B205" s="3">
        <v>44608</v>
      </c>
      <c r="C205" s="2" t="s">
        <v>1633</v>
      </c>
      <c r="D205" t="s">
        <v>6145</v>
      </c>
      <c r="E205" s="2">
        <v>1</v>
      </c>
      <c r="F205" s="2" t="str">
        <f>_xlfn.XLOOKUP(orders!C205,customers!$A$2:$A$1001,customers!$B$2:$B$1001)</f>
        <v>Vanna Le - Count</v>
      </c>
      <c r="G205" s="2" t="str">
        <f>IF(_xlfn.XLOOKUP(C205,customers!$A$2:$A$1001,customers!$C$2:$C$1001,,)=0,"",_xlfn.XLOOKUP(C205,customers!$A$2:$A$1001,customers!$C$2:$C$1001,,))</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cm="1">
        <f t="array" ref="N205">_xlfn.IFS(I205="Rob","Robusta",I205="Exc","Excelsa",I205="Ara","Arabica",I205="Lib","Liberica")</f>
        <v>Liberica</v>
      </c>
      <c r="O205" t="str" cm="1">
        <f t="array" ref="O205">_xlfn.IFS(J205="M","Medium",J205="L","Light",J205="D","Dark")</f>
        <v>Light</v>
      </c>
      <c r="P205" t="str">
        <f>_xlfn.XLOOKUP(Orders[[#This Row],[Customer ID]],customers!$A$1:$A$1001,customers!$I$1:$I$1001,,0)</f>
        <v>No</v>
      </c>
    </row>
    <row r="206" spans="1:16" x14ac:dyDescent="0.25">
      <c r="A206" s="2" t="s">
        <v>1638</v>
      </c>
      <c r="B206" s="3">
        <v>44027</v>
      </c>
      <c r="C206" s="2" t="s">
        <v>1639</v>
      </c>
      <c r="D206" t="s">
        <v>6141</v>
      </c>
      <c r="E206" s="2">
        <v>6</v>
      </c>
      <c r="F206" s="2" t="str">
        <f>_xlfn.XLOOKUP(orders!C206,customers!$A$2:$A$1001,customers!$B$2:$B$1001)</f>
        <v>Sarette Ducarel</v>
      </c>
      <c r="G206" s="2" t="str">
        <f>IF(_xlfn.XLOOKUP(C206,customers!$A$2:$A$1001,customers!$C$2:$C$1001,,)=0,"",_xlfn.XLOOKUP(C206,customers!$A$2:$A$1001,customers!$C$2:$C$1001,,))</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cm="1">
        <f t="array" ref="N206">_xlfn.IFS(I206="Rob","Robusta",I206="Exc","Excelsa",I206="Ara","Arabica",I206="Lib","Liberica")</f>
        <v>Excelsa</v>
      </c>
      <c r="O206" t="str" cm="1">
        <f t="array" ref="O206">_xlfn.IFS(J206="M","Medium",J206="L","Light",J206="D","Dark")</f>
        <v>Medium</v>
      </c>
      <c r="P206" t="str">
        <f>_xlfn.XLOOKUP(Orders[[#This Row],[Customer ID]],customers!$A$1:$A$1001,customers!$I$1:$I$1001,,0)</f>
        <v>No</v>
      </c>
    </row>
    <row r="207" spans="1:16" x14ac:dyDescent="0.25">
      <c r="A207" s="2" t="s">
        <v>1643</v>
      </c>
      <c r="B207" s="3">
        <v>43883</v>
      </c>
      <c r="C207" s="2" t="s">
        <v>1644</v>
      </c>
      <c r="D207" t="s">
        <v>6163</v>
      </c>
      <c r="E207" s="2">
        <v>3</v>
      </c>
      <c r="F207" s="2" t="str">
        <f>_xlfn.XLOOKUP(orders!C207,customers!$A$2:$A$1001,customers!$B$2:$B$1001)</f>
        <v>Kendra Glison</v>
      </c>
      <c r="G207" s="2" t="str">
        <f>IF(_xlfn.XLOOKUP(C207,customers!$A$2:$A$1001,customers!$C$2:$C$1001,,)=0,"",_xlfn.XLOOKUP(C207,customers!$A$2:$A$1001,customers!$C$2:$C$1001,,))</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cm="1">
        <f t="array" ref="N207">_xlfn.IFS(I207="Rob","Robusta",I207="Exc","Excelsa",I207="Ara","Arabica",I207="Lib","Liberica")</f>
        <v>Robusta</v>
      </c>
      <c r="O207" t="str" cm="1">
        <f t="array" ref="O207">_xlfn.IFS(J207="M","Medium",J207="L","Light",J207="D","Dark")</f>
        <v>Dark</v>
      </c>
      <c r="P207" t="str">
        <f>_xlfn.XLOOKUP(Orders[[#This Row],[Customer ID]],customers!$A$1:$A$1001,customers!$I$1:$I$1001,,0)</f>
        <v>Yes</v>
      </c>
    </row>
    <row r="208" spans="1:16" x14ac:dyDescent="0.25">
      <c r="A208" s="2" t="s">
        <v>1648</v>
      </c>
      <c r="B208" s="3">
        <v>44211</v>
      </c>
      <c r="C208" s="2" t="s">
        <v>1649</v>
      </c>
      <c r="D208" t="s">
        <v>6155</v>
      </c>
      <c r="E208" s="2">
        <v>2</v>
      </c>
      <c r="F208" s="2" t="str">
        <f>_xlfn.XLOOKUP(orders!C208,customers!$A$2:$A$1001,customers!$B$2:$B$1001)</f>
        <v>Nertie Poolman</v>
      </c>
      <c r="G208" s="2" t="str">
        <f>IF(_xlfn.XLOOKUP(C208,customers!$A$2:$A$1001,customers!$C$2:$C$1001,,)=0,"",_xlfn.XLOOKUP(C208,customers!$A$2:$A$1001,customers!$C$2:$C$1001,,))</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cm="1">
        <f t="array" ref="N208">_xlfn.IFS(I208="Rob","Robusta",I208="Exc","Excelsa",I208="Ara","Arabica",I208="Lib","Liberica")</f>
        <v>Arabica</v>
      </c>
      <c r="O208" t="str" cm="1">
        <f t="array" ref="O208">_xlfn.IFS(J208="M","Medium",J208="L","Light",J208="D","Dark")</f>
        <v>Medium</v>
      </c>
      <c r="P208" t="str">
        <f>_xlfn.XLOOKUP(Orders[[#This Row],[Customer ID]],customers!$A$1:$A$1001,customers!$I$1:$I$1001,,0)</f>
        <v>No</v>
      </c>
    </row>
    <row r="209" spans="1:16" x14ac:dyDescent="0.25">
      <c r="A209" s="2" t="s">
        <v>1653</v>
      </c>
      <c r="B209" s="3">
        <v>44207</v>
      </c>
      <c r="C209" s="2" t="s">
        <v>1654</v>
      </c>
      <c r="D209" t="s">
        <v>6157</v>
      </c>
      <c r="E209" s="2">
        <v>6</v>
      </c>
      <c r="F209" s="2" t="str">
        <f>_xlfn.XLOOKUP(orders!C209,customers!$A$2:$A$1001,customers!$B$2:$B$1001)</f>
        <v>Orbadiah Duny</v>
      </c>
      <c r="G209" s="2" t="str">
        <f>IF(_xlfn.XLOOKUP(C209,customers!$A$2:$A$1001,customers!$C$2:$C$1001,,)=0,"",_xlfn.XLOOKUP(C209,customers!$A$2:$A$1001,customers!$C$2:$C$1001,,))</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cm="1">
        <f t="array" ref="N209">_xlfn.IFS(I209="Rob","Robusta",I209="Exc","Excelsa",I209="Ara","Arabica",I209="Lib","Liberica")</f>
        <v>Arabica</v>
      </c>
      <c r="O209" t="str" cm="1">
        <f t="array" ref="O209">_xlfn.IFS(J209="M","Medium",J209="L","Light",J209="D","Dark")</f>
        <v>Medium</v>
      </c>
      <c r="P209" t="str">
        <f>_xlfn.XLOOKUP(Orders[[#This Row],[Customer ID]],customers!$A$1:$A$1001,customers!$I$1:$I$1001,,0)</f>
        <v>Yes</v>
      </c>
    </row>
    <row r="210" spans="1:16" x14ac:dyDescent="0.25">
      <c r="A210" s="2" t="s">
        <v>1659</v>
      </c>
      <c r="B210" s="3">
        <v>44659</v>
      </c>
      <c r="C210" s="2" t="s">
        <v>1660</v>
      </c>
      <c r="D210" t="s">
        <v>6144</v>
      </c>
      <c r="E210" s="2">
        <v>4</v>
      </c>
      <c r="F210" s="2" t="str">
        <f>_xlfn.XLOOKUP(orders!C210,customers!$A$2:$A$1001,customers!$B$2:$B$1001)</f>
        <v>Constance Halfhide</v>
      </c>
      <c r="G210" s="2" t="str">
        <f>IF(_xlfn.XLOOKUP(C210,customers!$A$2:$A$1001,customers!$C$2:$C$1001,,)=0,"",_xlfn.XLOOKUP(C210,customers!$A$2:$A$1001,customers!$C$2:$C$1001,,))</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cm="1">
        <f t="array" ref="N210">_xlfn.IFS(I210="Rob","Robusta",I210="Exc","Excelsa",I210="Ara","Arabica",I210="Lib","Liberica")</f>
        <v>Excelsa</v>
      </c>
      <c r="O210" t="str" cm="1">
        <f t="array" ref="O210">_xlfn.IFS(J210="M","Medium",J210="L","Light",J210="D","Dark")</f>
        <v>Dark</v>
      </c>
      <c r="P210" t="str">
        <f>_xlfn.XLOOKUP(Orders[[#This Row],[Customer ID]],customers!$A$1:$A$1001,customers!$I$1:$I$1001,,0)</f>
        <v>Yes</v>
      </c>
    </row>
    <row r="211" spans="1:16" x14ac:dyDescent="0.25">
      <c r="A211" s="2" t="s">
        <v>1665</v>
      </c>
      <c r="B211" s="3">
        <v>44105</v>
      </c>
      <c r="C211" s="2" t="s">
        <v>1666</v>
      </c>
      <c r="D211" t="s">
        <v>6157</v>
      </c>
      <c r="E211" s="2">
        <v>1</v>
      </c>
      <c r="F211" s="2" t="str">
        <f>_xlfn.XLOOKUP(orders!C211,customers!$A$2:$A$1001,customers!$B$2:$B$1001)</f>
        <v>Fransisco Malecky</v>
      </c>
      <c r="G211" s="2" t="str">
        <f>IF(_xlfn.XLOOKUP(C211,customers!$A$2:$A$1001,customers!$C$2:$C$1001,,)=0,"",_xlfn.XLOOKUP(C211,customers!$A$2:$A$1001,customers!$C$2:$C$1001,,))</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cm="1">
        <f t="array" ref="N211">_xlfn.IFS(I211="Rob","Robusta",I211="Exc","Excelsa",I211="Ara","Arabica",I211="Lib","Liberica")</f>
        <v>Arabica</v>
      </c>
      <c r="O211" t="str" cm="1">
        <f t="array" ref="O211">_xlfn.IFS(J211="M","Medium",J211="L","Light",J211="D","Dark")</f>
        <v>Medium</v>
      </c>
      <c r="P211" t="str">
        <f>_xlfn.XLOOKUP(Orders[[#This Row],[Customer ID]],customers!$A$1:$A$1001,customers!$I$1:$I$1001,,0)</f>
        <v>No</v>
      </c>
    </row>
    <row r="212" spans="1:16" x14ac:dyDescent="0.25">
      <c r="A212" s="2" t="s">
        <v>1671</v>
      </c>
      <c r="B212" s="3">
        <v>43766</v>
      </c>
      <c r="C212" s="2" t="s">
        <v>1672</v>
      </c>
      <c r="D212" t="s">
        <v>6143</v>
      </c>
      <c r="E212" s="2">
        <v>4</v>
      </c>
      <c r="F212" s="2" t="str">
        <f>_xlfn.XLOOKUP(orders!C212,customers!$A$2:$A$1001,customers!$B$2:$B$1001)</f>
        <v>Anselma Attwater</v>
      </c>
      <c r="G212" s="2" t="str">
        <f>IF(_xlfn.XLOOKUP(C212,customers!$A$2:$A$1001,customers!$C$2:$C$1001,,)=0,"",_xlfn.XLOOKUP(C212,customers!$A$2:$A$1001,customers!$C$2:$C$1001,,))</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cm="1">
        <f t="array" ref="N212">_xlfn.IFS(I212="Rob","Robusta",I212="Exc","Excelsa",I212="Ara","Arabica",I212="Lib","Liberica")</f>
        <v>Liberica</v>
      </c>
      <c r="O212" t="str" cm="1">
        <f t="array" ref="O212">_xlfn.IFS(J212="M","Medium",J212="L","Light",J212="D","Dark")</f>
        <v>Dark</v>
      </c>
      <c r="P212" t="str">
        <f>_xlfn.XLOOKUP(Orders[[#This Row],[Customer ID]],customers!$A$1:$A$1001,customers!$I$1:$I$1001,,0)</f>
        <v>Yes</v>
      </c>
    </row>
    <row r="213" spans="1:16" x14ac:dyDescent="0.25">
      <c r="A213" s="2" t="s">
        <v>1677</v>
      </c>
      <c r="B213" s="3">
        <v>44283</v>
      </c>
      <c r="C213" s="2" t="s">
        <v>1678</v>
      </c>
      <c r="D213" t="s">
        <v>6176</v>
      </c>
      <c r="E213" s="2">
        <v>6</v>
      </c>
      <c r="F213" s="2" t="str">
        <f>_xlfn.XLOOKUP(orders!C213,customers!$A$2:$A$1001,customers!$B$2:$B$1001)</f>
        <v>Minette Whellans</v>
      </c>
      <c r="G213" s="2" t="str">
        <f>IF(_xlfn.XLOOKUP(C213,customers!$A$2:$A$1001,customers!$C$2:$C$1001,,)=0,"",_xlfn.XLOOKUP(C213,customers!$A$2:$A$1001,customers!$C$2:$C$1001,,))</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cm="1">
        <f t="array" ref="N213">_xlfn.IFS(I213="Rob","Robusta",I213="Exc","Excelsa",I213="Ara","Arabica",I213="Lib","Liberica")</f>
        <v>Excelsa</v>
      </c>
      <c r="O213" t="str" cm="1">
        <f t="array" ref="O213">_xlfn.IFS(J213="M","Medium",J213="L","Light",J213="D","Dark")</f>
        <v>Light</v>
      </c>
      <c r="P213" t="str">
        <f>_xlfn.XLOOKUP(Orders[[#This Row],[Customer ID]],customers!$A$1:$A$1001,customers!$I$1:$I$1001,,0)</f>
        <v>No</v>
      </c>
    </row>
    <row r="214" spans="1:16" x14ac:dyDescent="0.25">
      <c r="A214" s="2" t="s">
        <v>1682</v>
      </c>
      <c r="B214" s="3">
        <v>43921</v>
      </c>
      <c r="C214" s="2" t="s">
        <v>1683</v>
      </c>
      <c r="D214" t="s">
        <v>6153</v>
      </c>
      <c r="E214" s="2">
        <v>4</v>
      </c>
      <c r="F214" s="2" t="str">
        <f>_xlfn.XLOOKUP(orders!C214,customers!$A$2:$A$1001,customers!$B$2:$B$1001)</f>
        <v>Dael Camilletti</v>
      </c>
      <c r="G214" s="2" t="str">
        <f>IF(_xlfn.XLOOKUP(C214,customers!$A$2:$A$1001,customers!$C$2:$C$1001,,)=0,"",_xlfn.XLOOKUP(C214,customers!$A$2:$A$1001,customers!$C$2:$C$1001,,))</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cm="1">
        <f t="array" ref="N214">_xlfn.IFS(I214="Rob","Robusta",I214="Exc","Excelsa",I214="Ara","Arabica",I214="Lib","Liberica")</f>
        <v>Excelsa</v>
      </c>
      <c r="O214" t="str" cm="1">
        <f t="array" ref="O214">_xlfn.IFS(J214="M","Medium",J214="L","Light",J214="D","Dark")</f>
        <v>Dark</v>
      </c>
      <c r="P214" t="str">
        <f>_xlfn.XLOOKUP(Orders[[#This Row],[Customer ID]],customers!$A$1:$A$1001,customers!$I$1:$I$1001,,0)</f>
        <v>Yes</v>
      </c>
    </row>
    <row r="215" spans="1:16" x14ac:dyDescent="0.25">
      <c r="A215" s="2" t="s">
        <v>1688</v>
      </c>
      <c r="B215" s="3">
        <v>44646</v>
      </c>
      <c r="C215" s="2" t="s">
        <v>1689</v>
      </c>
      <c r="D215" t="s">
        <v>6149</v>
      </c>
      <c r="E215" s="2">
        <v>1</v>
      </c>
      <c r="F215" s="2" t="str">
        <f>_xlfn.XLOOKUP(orders!C215,customers!$A$2:$A$1001,customers!$B$2:$B$1001)</f>
        <v>Emiline Galgey</v>
      </c>
      <c r="G215" s="2" t="str">
        <f>IF(_xlfn.XLOOKUP(C215,customers!$A$2:$A$1001,customers!$C$2:$C$1001,,)=0,"",_xlfn.XLOOKUP(C215,customers!$A$2:$A$1001,customers!$C$2:$C$1001,,))</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cm="1">
        <f t="array" ref="N215">_xlfn.IFS(I215="Rob","Robusta",I215="Exc","Excelsa",I215="Ara","Arabica",I215="Lib","Liberica")</f>
        <v>Robusta</v>
      </c>
      <c r="O215" t="str" cm="1">
        <f t="array" ref="O215">_xlfn.IFS(J215="M","Medium",J215="L","Light",J215="D","Dark")</f>
        <v>Dark</v>
      </c>
      <c r="P215" t="str">
        <f>_xlfn.XLOOKUP(Orders[[#This Row],[Customer ID]],customers!$A$1:$A$1001,customers!$I$1:$I$1001,,0)</f>
        <v>No</v>
      </c>
    </row>
    <row r="216" spans="1:16" x14ac:dyDescent="0.25">
      <c r="A216" s="2" t="s">
        <v>1694</v>
      </c>
      <c r="B216" s="3">
        <v>43775</v>
      </c>
      <c r="C216" s="2" t="s">
        <v>1695</v>
      </c>
      <c r="D216" t="s">
        <v>6170</v>
      </c>
      <c r="E216" s="2">
        <v>2</v>
      </c>
      <c r="F216" s="2" t="str">
        <f>_xlfn.XLOOKUP(orders!C216,customers!$A$2:$A$1001,customers!$B$2:$B$1001)</f>
        <v>Murdock Hame</v>
      </c>
      <c r="G216" s="2" t="str">
        <f>IF(_xlfn.XLOOKUP(C216,customers!$A$2:$A$1001,customers!$C$2:$C$1001,,)=0,"",_xlfn.XLOOKUP(C216,customers!$A$2:$A$1001,customers!$C$2:$C$1001,,))</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cm="1">
        <f t="array" ref="N216">_xlfn.IFS(I216="Rob","Robusta",I216="Exc","Excelsa",I216="Ara","Arabica",I216="Lib","Liberica")</f>
        <v>Liberica</v>
      </c>
      <c r="O216" t="str" cm="1">
        <f t="array" ref="O216">_xlfn.IFS(J216="M","Medium",J216="L","Light",J216="D","Dark")</f>
        <v>Light</v>
      </c>
      <c r="P216" t="str">
        <f>_xlfn.XLOOKUP(Orders[[#This Row],[Customer ID]],customers!$A$1:$A$1001,customers!$I$1:$I$1001,,0)</f>
        <v>No</v>
      </c>
    </row>
    <row r="217" spans="1:16" x14ac:dyDescent="0.25">
      <c r="A217" s="2" t="s">
        <v>1701</v>
      </c>
      <c r="B217" s="3">
        <v>43829</v>
      </c>
      <c r="C217" s="2" t="s">
        <v>1702</v>
      </c>
      <c r="D217" t="s">
        <v>6150</v>
      </c>
      <c r="E217" s="2">
        <v>6</v>
      </c>
      <c r="F217" s="2" t="str">
        <f>_xlfn.XLOOKUP(orders!C217,customers!$A$2:$A$1001,customers!$B$2:$B$1001)</f>
        <v>Ilka Gurnee</v>
      </c>
      <c r="G217" s="2" t="str">
        <f>IF(_xlfn.XLOOKUP(C217,customers!$A$2:$A$1001,customers!$C$2:$C$1001,,)=0,"",_xlfn.XLOOKUP(C217,customers!$A$2:$A$1001,customers!$C$2:$C$1001,,))</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cm="1">
        <f t="array" ref="N217">_xlfn.IFS(I217="Rob","Robusta",I217="Exc","Excelsa",I217="Ara","Arabica",I217="Lib","Liberica")</f>
        <v>Liberica</v>
      </c>
      <c r="O217" t="str" cm="1">
        <f t="array" ref="O217">_xlfn.IFS(J217="M","Medium",J217="L","Light",J217="D","Dark")</f>
        <v>Dark</v>
      </c>
      <c r="P217" t="str">
        <f>_xlfn.XLOOKUP(Orders[[#This Row],[Customer ID]],customers!$A$1:$A$1001,customers!$I$1:$I$1001,,0)</f>
        <v>No</v>
      </c>
    </row>
    <row r="218" spans="1:16" x14ac:dyDescent="0.25">
      <c r="A218" s="2" t="s">
        <v>1707</v>
      </c>
      <c r="B218" s="3">
        <v>44470</v>
      </c>
      <c r="C218" s="2" t="s">
        <v>1708</v>
      </c>
      <c r="D218" t="s">
        <v>6162</v>
      </c>
      <c r="E218" s="2">
        <v>4</v>
      </c>
      <c r="F218" s="2" t="str">
        <f>_xlfn.XLOOKUP(orders!C218,customers!$A$2:$A$1001,customers!$B$2:$B$1001)</f>
        <v>Alfy Snowding</v>
      </c>
      <c r="G218" s="2" t="str">
        <f>IF(_xlfn.XLOOKUP(C218,customers!$A$2:$A$1001,customers!$C$2:$C$1001,,)=0,"",_xlfn.XLOOKUP(C218,customers!$A$2:$A$1001,customers!$C$2:$C$1001,,))</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cm="1">
        <f t="array" ref="N218">_xlfn.IFS(I218="Rob","Robusta",I218="Exc","Excelsa",I218="Ara","Arabica",I218="Lib","Liberica")</f>
        <v>Liberica</v>
      </c>
      <c r="O218" t="str" cm="1">
        <f t="array" ref="O218">_xlfn.IFS(J218="M","Medium",J218="L","Light",J218="D","Dark")</f>
        <v>Medium</v>
      </c>
      <c r="P218" t="str">
        <f>_xlfn.XLOOKUP(Orders[[#This Row],[Customer ID]],customers!$A$1:$A$1001,customers!$I$1:$I$1001,,0)</f>
        <v>Yes</v>
      </c>
    </row>
    <row r="219" spans="1:16" x14ac:dyDescent="0.25">
      <c r="A219" s="2" t="s">
        <v>1713</v>
      </c>
      <c r="B219" s="3">
        <v>44174</v>
      </c>
      <c r="C219" s="2" t="s">
        <v>1714</v>
      </c>
      <c r="D219" t="s">
        <v>6176</v>
      </c>
      <c r="E219" s="2">
        <v>4</v>
      </c>
      <c r="F219" s="2" t="str">
        <f>_xlfn.XLOOKUP(orders!C219,customers!$A$2:$A$1001,customers!$B$2:$B$1001)</f>
        <v>Godfry Poinsett</v>
      </c>
      <c r="G219" s="2" t="str">
        <f>IF(_xlfn.XLOOKUP(C219,customers!$A$2:$A$1001,customers!$C$2:$C$1001,,)=0,"",_xlfn.XLOOKUP(C219,customers!$A$2:$A$1001,customers!$C$2:$C$1001,,))</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cm="1">
        <f t="array" ref="N219">_xlfn.IFS(I219="Rob","Robusta",I219="Exc","Excelsa",I219="Ara","Arabica",I219="Lib","Liberica")</f>
        <v>Excelsa</v>
      </c>
      <c r="O219" t="str" cm="1">
        <f t="array" ref="O219">_xlfn.IFS(J219="M","Medium",J219="L","Light",J219="D","Dark")</f>
        <v>Light</v>
      </c>
      <c r="P219" t="str">
        <f>_xlfn.XLOOKUP(Orders[[#This Row],[Customer ID]],customers!$A$1:$A$1001,customers!$I$1:$I$1001,,0)</f>
        <v>No</v>
      </c>
    </row>
    <row r="220" spans="1:16" x14ac:dyDescent="0.25">
      <c r="A220" s="2" t="s">
        <v>1719</v>
      </c>
      <c r="B220" s="3">
        <v>44317</v>
      </c>
      <c r="C220" s="2" t="s">
        <v>1720</v>
      </c>
      <c r="D220" t="s">
        <v>6155</v>
      </c>
      <c r="E220" s="2">
        <v>5</v>
      </c>
      <c r="F220" s="2" t="str">
        <f>_xlfn.XLOOKUP(orders!C220,customers!$A$2:$A$1001,customers!$B$2:$B$1001)</f>
        <v>Rem Furman</v>
      </c>
      <c r="G220" s="2" t="str">
        <f>IF(_xlfn.XLOOKUP(C220,customers!$A$2:$A$1001,customers!$C$2:$C$1001,,)=0,"",_xlfn.XLOOKUP(C220,customers!$A$2:$A$1001,customers!$C$2:$C$1001,,))</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cm="1">
        <f t="array" ref="N220">_xlfn.IFS(I220="Rob","Robusta",I220="Exc","Excelsa",I220="Ara","Arabica",I220="Lib","Liberica")</f>
        <v>Arabica</v>
      </c>
      <c r="O220" t="str" cm="1">
        <f t="array" ref="O220">_xlfn.IFS(J220="M","Medium",J220="L","Light",J220="D","Dark")</f>
        <v>Medium</v>
      </c>
      <c r="P220" t="str">
        <f>_xlfn.XLOOKUP(Orders[[#This Row],[Customer ID]],customers!$A$1:$A$1001,customers!$I$1:$I$1001,,0)</f>
        <v>Yes</v>
      </c>
    </row>
    <row r="221" spans="1:16" x14ac:dyDescent="0.25">
      <c r="A221" s="2" t="s">
        <v>1725</v>
      </c>
      <c r="B221" s="3">
        <v>44777</v>
      </c>
      <c r="C221" s="2" t="s">
        <v>1726</v>
      </c>
      <c r="D221" t="s">
        <v>6178</v>
      </c>
      <c r="E221" s="2">
        <v>3</v>
      </c>
      <c r="F221" s="2" t="str">
        <f>_xlfn.XLOOKUP(orders!C221,customers!$A$2:$A$1001,customers!$B$2:$B$1001)</f>
        <v>Charis Crosier</v>
      </c>
      <c r="G221" s="2" t="str">
        <f>IF(_xlfn.XLOOKUP(C221,customers!$A$2:$A$1001,customers!$C$2:$C$1001,,)=0,"",_xlfn.XLOOKUP(C221,customers!$A$2:$A$1001,customers!$C$2:$C$1001,,))</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cm="1">
        <f t="array" ref="N221">_xlfn.IFS(I221="Rob","Robusta",I221="Exc","Excelsa",I221="Ara","Arabica",I221="Lib","Liberica")</f>
        <v>Robusta</v>
      </c>
      <c r="O221" t="str" cm="1">
        <f t="array" ref="O221">_xlfn.IFS(J221="M","Medium",J221="L","Light",J221="D","Dark")</f>
        <v>Light</v>
      </c>
      <c r="P221" t="str">
        <f>_xlfn.XLOOKUP(Orders[[#This Row],[Customer ID]],customers!$A$1:$A$1001,customers!$I$1:$I$1001,,0)</f>
        <v>No</v>
      </c>
    </row>
    <row r="222" spans="1:16" x14ac:dyDescent="0.25">
      <c r="A222" s="2" t="s">
        <v>1725</v>
      </c>
      <c r="B222" s="3">
        <v>44777</v>
      </c>
      <c r="C222" s="2" t="s">
        <v>1726</v>
      </c>
      <c r="D222" t="s">
        <v>6174</v>
      </c>
      <c r="E222" s="2">
        <v>5</v>
      </c>
      <c r="F222" s="2" t="str">
        <f>_xlfn.XLOOKUP(orders!C222,customers!$A$2:$A$1001,customers!$B$2:$B$1001)</f>
        <v>Charis Crosier</v>
      </c>
      <c r="G222" s="2" t="str">
        <f>IF(_xlfn.XLOOKUP(C222,customers!$A$2:$A$1001,customers!$C$2:$C$1001,,)=0,"",_xlfn.XLOOKUP(C222,customers!$A$2:$A$1001,customers!$C$2:$C$1001,,))</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cm="1">
        <f t="array" ref="N222">_xlfn.IFS(I222="Rob","Robusta",I222="Exc","Excelsa",I222="Ara","Arabica",I222="Lib","Liberica")</f>
        <v>Robusta</v>
      </c>
      <c r="O222" t="str" cm="1">
        <f t="array" ref="O222">_xlfn.IFS(J222="M","Medium",J222="L","Light",J222="D","Dark")</f>
        <v>Medium</v>
      </c>
      <c r="P222" t="str">
        <f>_xlfn.XLOOKUP(Orders[[#This Row],[Customer ID]],customers!$A$1:$A$1001,customers!$I$1:$I$1001,,0)</f>
        <v>No</v>
      </c>
    </row>
    <row r="223" spans="1:16" x14ac:dyDescent="0.25">
      <c r="A223" s="2" t="s">
        <v>1736</v>
      </c>
      <c r="B223" s="3">
        <v>44513</v>
      </c>
      <c r="C223" s="2" t="s">
        <v>1737</v>
      </c>
      <c r="D223" t="s">
        <v>6140</v>
      </c>
      <c r="E223" s="2">
        <v>6</v>
      </c>
      <c r="F223" s="2" t="str">
        <f>_xlfn.XLOOKUP(orders!C223,customers!$A$2:$A$1001,customers!$B$2:$B$1001)</f>
        <v>Lenka Rushmer</v>
      </c>
      <c r="G223" s="2" t="str">
        <f>IF(_xlfn.XLOOKUP(C223,customers!$A$2:$A$1001,customers!$C$2:$C$1001,,)=0,"",_xlfn.XLOOKUP(C223,customers!$A$2:$A$1001,customers!$C$2:$C$1001,,))</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cm="1">
        <f t="array" ref="N223">_xlfn.IFS(I223="Rob","Robusta",I223="Exc","Excelsa",I223="Ara","Arabica",I223="Lib","Liberica")</f>
        <v>Arabica</v>
      </c>
      <c r="O223" t="str" cm="1">
        <f t="array" ref="O223">_xlfn.IFS(J223="M","Medium",J223="L","Light",J223="D","Dark")</f>
        <v>Light</v>
      </c>
      <c r="P223" t="str">
        <f>_xlfn.XLOOKUP(Orders[[#This Row],[Customer ID]],customers!$A$1:$A$1001,customers!$I$1:$I$1001,,0)</f>
        <v>Yes</v>
      </c>
    </row>
    <row r="224" spans="1:16" x14ac:dyDescent="0.25">
      <c r="A224" s="2" t="s">
        <v>1742</v>
      </c>
      <c r="B224" s="3">
        <v>44090</v>
      </c>
      <c r="C224" s="2" t="s">
        <v>1743</v>
      </c>
      <c r="D224" t="s">
        <v>6169</v>
      </c>
      <c r="E224" s="2">
        <v>3</v>
      </c>
      <c r="F224" s="2" t="str">
        <f>_xlfn.XLOOKUP(orders!C224,customers!$A$2:$A$1001,customers!$B$2:$B$1001)</f>
        <v>Waneta Edinborough</v>
      </c>
      <c r="G224" s="2" t="str">
        <f>IF(_xlfn.XLOOKUP(C224,customers!$A$2:$A$1001,customers!$C$2:$C$1001,,)=0,"",_xlfn.XLOOKUP(C224,customers!$A$2:$A$1001,customers!$C$2:$C$1001,,))</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cm="1">
        <f t="array" ref="N224">_xlfn.IFS(I224="Rob","Robusta",I224="Exc","Excelsa",I224="Ara","Arabica",I224="Lib","Liberica")</f>
        <v>Liberica</v>
      </c>
      <c r="O224" t="str" cm="1">
        <f t="array" ref="O224">_xlfn.IFS(J224="M","Medium",J224="L","Light",J224="D","Dark")</f>
        <v>Dark</v>
      </c>
      <c r="P224" t="str">
        <f>_xlfn.XLOOKUP(Orders[[#This Row],[Customer ID]],customers!$A$1:$A$1001,customers!$I$1:$I$1001,,0)</f>
        <v>No</v>
      </c>
    </row>
    <row r="225" spans="1:16" x14ac:dyDescent="0.25">
      <c r="A225" s="2" t="s">
        <v>1748</v>
      </c>
      <c r="B225" s="3">
        <v>44109</v>
      </c>
      <c r="C225" s="2" t="s">
        <v>1749</v>
      </c>
      <c r="D225" t="s">
        <v>6171</v>
      </c>
      <c r="E225" s="2">
        <v>4</v>
      </c>
      <c r="F225" s="2" t="str">
        <f>_xlfn.XLOOKUP(orders!C225,customers!$A$2:$A$1001,customers!$B$2:$B$1001)</f>
        <v>Bobbe Piggott</v>
      </c>
      <c r="G225" s="2" t="str">
        <f>IF(_xlfn.XLOOKUP(C225,customers!$A$2:$A$1001,customers!$C$2:$C$1001,,)=0,"",_xlfn.XLOOKUP(C225,customers!$A$2:$A$1001,customers!$C$2:$C$1001,,))</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cm="1">
        <f t="array" ref="N225">_xlfn.IFS(I225="Rob","Robusta",I225="Exc","Excelsa",I225="Ara","Arabica",I225="Lib","Liberica")</f>
        <v>Excelsa</v>
      </c>
      <c r="O225" t="str" cm="1">
        <f t="array" ref="O225">_xlfn.IFS(J225="M","Medium",J225="L","Light",J225="D","Dark")</f>
        <v>Light</v>
      </c>
      <c r="P225" t="str">
        <f>_xlfn.XLOOKUP(Orders[[#This Row],[Customer ID]],customers!$A$1:$A$1001,customers!$I$1:$I$1001,,0)</f>
        <v>Yes</v>
      </c>
    </row>
    <row r="226" spans="1:16" x14ac:dyDescent="0.25">
      <c r="A226" s="2" t="s">
        <v>1753</v>
      </c>
      <c r="B226" s="3">
        <v>43836</v>
      </c>
      <c r="C226" s="2" t="s">
        <v>1754</v>
      </c>
      <c r="D226" t="s">
        <v>6165</v>
      </c>
      <c r="E226" s="2">
        <v>4</v>
      </c>
      <c r="F226" s="2" t="str">
        <f>_xlfn.XLOOKUP(orders!C226,customers!$A$2:$A$1001,customers!$B$2:$B$1001)</f>
        <v>Ketty Bromehead</v>
      </c>
      <c r="G226" s="2" t="str">
        <f>IF(_xlfn.XLOOKUP(C226,customers!$A$2:$A$1001,customers!$C$2:$C$1001,,)=0,"",_xlfn.XLOOKUP(C226,customers!$A$2:$A$1001,customers!$C$2:$C$1001,,))</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cm="1">
        <f t="array" ref="N226">_xlfn.IFS(I226="Rob","Robusta",I226="Exc","Excelsa",I226="Ara","Arabica",I226="Lib","Liberica")</f>
        <v>Liberica</v>
      </c>
      <c r="O226" t="str" cm="1">
        <f t="array" ref="O226">_xlfn.IFS(J226="M","Medium",J226="L","Light",J226="D","Dark")</f>
        <v>Dark</v>
      </c>
      <c r="P226" t="str">
        <f>_xlfn.XLOOKUP(Orders[[#This Row],[Customer ID]],customers!$A$1:$A$1001,customers!$I$1:$I$1001,,0)</f>
        <v>Yes</v>
      </c>
    </row>
    <row r="227" spans="1:16" x14ac:dyDescent="0.25">
      <c r="A227" s="2" t="s">
        <v>1759</v>
      </c>
      <c r="B227" s="3">
        <v>44337</v>
      </c>
      <c r="C227" s="2" t="s">
        <v>1760</v>
      </c>
      <c r="D227" t="s">
        <v>6178</v>
      </c>
      <c r="E227" s="2">
        <v>4</v>
      </c>
      <c r="F227" s="2" t="str">
        <f>_xlfn.XLOOKUP(orders!C227,customers!$A$2:$A$1001,customers!$B$2:$B$1001)</f>
        <v>Elsbeth Westerman</v>
      </c>
      <c r="G227" s="2" t="str">
        <f>IF(_xlfn.XLOOKUP(C227,customers!$A$2:$A$1001,customers!$C$2:$C$1001,,)=0,"",_xlfn.XLOOKUP(C227,customers!$A$2:$A$1001,customers!$C$2:$C$1001,,))</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cm="1">
        <f t="array" ref="N227">_xlfn.IFS(I227="Rob","Robusta",I227="Exc","Excelsa",I227="Ara","Arabica",I227="Lib","Liberica")</f>
        <v>Robusta</v>
      </c>
      <c r="O227" t="str" cm="1">
        <f t="array" ref="O227">_xlfn.IFS(J227="M","Medium",J227="L","Light",J227="D","Dark")</f>
        <v>Light</v>
      </c>
      <c r="P227" t="str">
        <f>_xlfn.XLOOKUP(Orders[[#This Row],[Customer ID]],customers!$A$1:$A$1001,customers!$I$1:$I$1001,,0)</f>
        <v>No</v>
      </c>
    </row>
    <row r="228" spans="1:16" x14ac:dyDescent="0.25">
      <c r="A228" s="2" t="s">
        <v>1765</v>
      </c>
      <c r="B228" s="3">
        <v>43887</v>
      </c>
      <c r="C228" s="2" t="s">
        <v>1766</v>
      </c>
      <c r="D228" t="s">
        <v>6175</v>
      </c>
      <c r="E228" s="2">
        <v>5</v>
      </c>
      <c r="F228" s="2" t="str">
        <f>_xlfn.XLOOKUP(orders!C228,customers!$A$2:$A$1001,customers!$B$2:$B$1001)</f>
        <v>Anabelle Hutchens</v>
      </c>
      <c r="G228" s="2" t="str">
        <f>IF(_xlfn.XLOOKUP(C228,customers!$A$2:$A$1001,customers!$C$2:$C$1001,,)=0,"",_xlfn.XLOOKUP(C228,customers!$A$2:$A$1001,customers!$C$2:$C$1001,,))</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cm="1">
        <f t="array" ref="N228">_xlfn.IFS(I228="Rob","Robusta",I228="Exc","Excelsa",I228="Ara","Arabica",I228="Lib","Liberica")</f>
        <v>Arabica</v>
      </c>
      <c r="O228" t="str" cm="1">
        <f t="array" ref="O228">_xlfn.IFS(J228="M","Medium",J228="L","Light",J228="D","Dark")</f>
        <v>Medium</v>
      </c>
      <c r="P228" t="str">
        <f>_xlfn.XLOOKUP(Orders[[#This Row],[Customer ID]],customers!$A$1:$A$1001,customers!$I$1:$I$1001,,0)</f>
        <v>No</v>
      </c>
    </row>
    <row r="229" spans="1:16" x14ac:dyDescent="0.25">
      <c r="A229" s="2" t="s">
        <v>1771</v>
      </c>
      <c r="B229" s="3">
        <v>43880</v>
      </c>
      <c r="C229" s="2" t="s">
        <v>1772</v>
      </c>
      <c r="D229" t="s">
        <v>6163</v>
      </c>
      <c r="E229" s="2">
        <v>6</v>
      </c>
      <c r="F229" s="2" t="str">
        <f>_xlfn.XLOOKUP(orders!C229,customers!$A$2:$A$1001,customers!$B$2:$B$1001)</f>
        <v>Noak Wyvill</v>
      </c>
      <c r="G229" s="2" t="str">
        <f>IF(_xlfn.XLOOKUP(C229,customers!$A$2:$A$1001,customers!$C$2:$C$1001,,)=0,"",_xlfn.XLOOKUP(C229,customers!$A$2:$A$1001,customers!$C$2:$C$1001,,))</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cm="1">
        <f t="array" ref="N229">_xlfn.IFS(I229="Rob","Robusta",I229="Exc","Excelsa",I229="Ara","Arabica",I229="Lib","Liberica")</f>
        <v>Robusta</v>
      </c>
      <c r="O229" t="str" cm="1">
        <f t="array" ref="O229">_xlfn.IFS(J229="M","Medium",J229="L","Light",J229="D","Dark")</f>
        <v>Dark</v>
      </c>
      <c r="P229" t="str">
        <f>_xlfn.XLOOKUP(Orders[[#This Row],[Customer ID]],customers!$A$1:$A$1001,customers!$I$1:$I$1001,,0)</f>
        <v>Yes</v>
      </c>
    </row>
    <row r="230" spans="1:16" x14ac:dyDescent="0.25">
      <c r="A230" s="2" t="s">
        <v>1777</v>
      </c>
      <c r="B230" s="3">
        <v>44376</v>
      </c>
      <c r="C230" s="2" t="s">
        <v>1778</v>
      </c>
      <c r="D230" t="s">
        <v>6178</v>
      </c>
      <c r="E230" s="2">
        <v>5</v>
      </c>
      <c r="F230" s="2" t="str">
        <f>_xlfn.XLOOKUP(orders!C230,customers!$A$2:$A$1001,customers!$B$2:$B$1001)</f>
        <v>Beltran Mathon</v>
      </c>
      <c r="G230" s="2" t="str">
        <f>IF(_xlfn.XLOOKUP(C230,customers!$A$2:$A$1001,customers!$C$2:$C$1001,,)=0,"",_xlfn.XLOOKUP(C230,customers!$A$2:$A$1001,customers!$C$2:$C$1001,,))</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cm="1">
        <f t="array" ref="N230">_xlfn.IFS(I230="Rob","Robusta",I230="Exc","Excelsa",I230="Ara","Arabica",I230="Lib","Liberica")</f>
        <v>Robusta</v>
      </c>
      <c r="O230" t="str" cm="1">
        <f t="array" ref="O230">_xlfn.IFS(J230="M","Medium",J230="L","Light",J230="D","Dark")</f>
        <v>Light</v>
      </c>
      <c r="P230" t="str">
        <f>_xlfn.XLOOKUP(Orders[[#This Row],[Customer ID]],customers!$A$1:$A$1001,customers!$I$1:$I$1001,,0)</f>
        <v>No</v>
      </c>
    </row>
    <row r="231" spans="1:16" x14ac:dyDescent="0.25">
      <c r="A231" s="2" t="s">
        <v>1783</v>
      </c>
      <c r="B231" s="3">
        <v>44282</v>
      </c>
      <c r="C231" s="2" t="s">
        <v>1784</v>
      </c>
      <c r="D231" t="s">
        <v>6159</v>
      </c>
      <c r="E231" s="2">
        <v>2</v>
      </c>
      <c r="F231" s="2" t="str">
        <f>_xlfn.XLOOKUP(orders!C231,customers!$A$2:$A$1001,customers!$B$2:$B$1001)</f>
        <v>Kristos Streight</v>
      </c>
      <c r="G231" s="2" t="str">
        <f>IF(_xlfn.XLOOKUP(C231,customers!$A$2:$A$1001,customers!$C$2:$C$1001,,)=0,"",_xlfn.XLOOKUP(C231,customers!$A$2:$A$1001,customers!$C$2:$C$1001,,))</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cm="1">
        <f t="array" ref="N231">_xlfn.IFS(I231="Rob","Robusta",I231="Exc","Excelsa",I231="Ara","Arabica",I231="Lib","Liberica")</f>
        <v>Liberica</v>
      </c>
      <c r="O231" t="str" cm="1">
        <f t="array" ref="O231">_xlfn.IFS(J231="M","Medium",J231="L","Light",J231="D","Dark")</f>
        <v>Medium</v>
      </c>
      <c r="P231" t="str">
        <f>_xlfn.XLOOKUP(Orders[[#This Row],[Customer ID]],customers!$A$1:$A$1001,customers!$I$1:$I$1001,,0)</f>
        <v>No</v>
      </c>
    </row>
    <row r="232" spans="1:16" x14ac:dyDescent="0.25">
      <c r="A232" s="2" t="s">
        <v>1789</v>
      </c>
      <c r="B232" s="3">
        <v>44496</v>
      </c>
      <c r="C232" s="2" t="s">
        <v>1790</v>
      </c>
      <c r="D232" t="s">
        <v>6175</v>
      </c>
      <c r="E232" s="2">
        <v>2</v>
      </c>
      <c r="F232" s="2" t="str">
        <f>_xlfn.XLOOKUP(orders!C232,customers!$A$2:$A$1001,customers!$B$2:$B$1001)</f>
        <v>Portie Cutchie</v>
      </c>
      <c r="G232" s="2" t="str">
        <f>IF(_xlfn.XLOOKUP(C232,customers!$A$2:$A$1001,customers!$C$2:$C$1001,,)=0,"",_xlfn.XLOOKUP(C232,customers!$A$2:$A$1001,customers!$C$2:$C$1001,,))</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cm="1">
        <f t="array" ref="N232">_xlfn.IFS(I232="Rob","Robusta",I232="Exc","Excelsa",I232="Ara","Arabica",I232="Lib","Liberica")</f>
        <v>Arabica</v>
      </c>
      <c r="O232" t="str" cm="1">
        <f t="array" ref="O232">_xlfn.IFS(J232="M","Medium",J232="L","Light",J232="D","Dark")</f>
        <v>Medium</v>
      </c>
      <c r="P232" t="str">
        <f>_xlfn.XLOOKUP(Orders[[#This Row],[Customer ID]],customers!$A$1:$A$1001,customers!$I$1:$I$1001,,0)</f>
        <v>No</v>
      </c>
    </row>
    <row r="233" spans="1:16" x14ac:dyDescent="0.25">
      <c r="A233" s="2" t="s">
        <v>1795</v>
      </c>
      <c r="B233" s="3">
        <v>43628</v>
      </c>
      <c r="C233" s="2" t="s">
        <v>1796</v>
      </c>
      <c r="D233" t="s">
        <v>6159</v>
      </c>
      <c r="E233" s="2">
        <v>2</v>
      </c>
      <c r="F233" s="2" t="str">
        <f>_xlfn.XLOOKUP(orders!C233,customers!$A$2:$A$1001,customers!$B$2:$B$1001)</f>
        <v>Sinclare Edsell</v>
      </c>
      <c r="G233" s="2" t="str">
        <f>IF(_xlfn.XLOOKUP(C233,customers!$A$2:$A$1001,customers!$C$2:$C$1001,,)=0,"",_xlfn.XLOOKUP(C233,customers!$A$2:$A$1001,customers!$C$2:$C$1001,,))</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cm="1">
        <f t="array" ref="N233">_xlfn.IFS(I233="Rob","Robusta",I233="Exc","Excelsa",I233="Ara","Arabica",I233="Lib","Liberica")</f>
        <v>Liberica</v>
      </c>
      <c r="O233" t="str" cm="1">
        <f t="array" ref="O233">_xlfn.IFS(J233="M","Medium",J233="L","Light",J233="D","Dark")</f>
        <v>Medium</v>
      </c>
      <c r="P233" t="str">
        <f>_xlfn.XLOOKUP(Orders[[#This Row],[Customer ID]],customers!$A$1:$A$1001,customers!$I$1:$I$1001,,0)</f>
        <v>Yes</v>
      </c>
    </row>
    <row r="234" spans="1:16" x14ac:dyDescent="0.25">
      <c r="A234" s="2" t="s">
        <v>1800</v>
      </c>
      <c r="B234" s="3">
        <v>44010</v>
      </c>
      <c r="C234" s="2" t="s">
        <v>1801</v>
      </c>
      <c r="D234" t="s">
        <v>6145</v>
      </c>
      <c r="E234" s="2">
        <v>5</v>
      </c>
      <c r="F234" s="2" t="str">
        <f>_xlfn.XLOOKUP(orders!C234,customers!$A$2:$A$1001,customers!$B$2:$B$1001)</f>
        <v>Conny Gheraldi</v>
      </c>
      <c r="G234" s="2" t="str">
        <f>IF(_xlfn.XLOOKUP(C234,customers!$A$2:$A$1001,customers!$C$2:$C$1001,,)=0,"",_xlfn.XLOOKUP(C234,customers!$A$2:$A$1001,customers!$C$2:$C$1001,,))</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cm="1">
        <f t="array" ref="N234">_xlfn.IFS(I234="Rob","Robusta",I234="Exc","Excelsa",I234="Ara","Arabica",I234="Lib","Liberica")</f>
        <v>Liberica</v>
      </c>
      <c r="O234" t="str" cm="1">
        <f t="array" ref="O234">_xlfn.IFS(J234="M","Medium",J234="L","Light",J234="D","Dark")</f>
        <v>Light</v>
      </c>
      <c r="P234" t="str">
        <f>_xlfn.XLOOKUP(Orders[[#This Row],[Customer ID]],customers!$A$1:$A$1001,customers!$I$1:$I$1001,,0)</f>
        <v>No</v>
      </c>
    </row>
    <row r="235" spans="1:16" x14ac:dyDescent="0.25">
      <c r="A235" s="2" t="s">
        <v>1806</v>
      </c>
      <c r="B235" s="3">
        <v>44278</v>
      </c>
      <c r="C235" s="2" t="s">
        <v>1807</v>
      </c>
      <c r="D235" t="s">
        <v>6156</v>
      </c>
      <c r="E235" s="2">
        <v>5</v>
      </c>
      <c r="F235" s="2" t="str">
        <f>_xlfn.XLOOKUP(orders!C235,customers!$A$2:$A$1001,customers!$B$2:$B$1001)</f>
        <v>Beryle Kenwell</v>
      </c>
      <c r="G235" s="2" t="str">
        <f>IF(_xlfn.XLOOKUP(C235,customers!$A$2:$A$1001,customers!$C$2:$C$1001,,)=0,"",_xlfn.XLOOKUP(C235,customers!$A$2:$A$1001,customers!$C$2:$C$1001,,))</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cm="1">
        <f t="array" ref="N235">_xlfn.IFS(I235="Rob","Robusta",I235="Exc","Excelsa",I235="Ara","Arabica",I235="Lib","Liberica")</f>
        <v>Excelsa</v>
      </c>
      <c r="O235" t="str" cm="1">
        <f t="array" ref="O235">_xlfn.IFS(J235="M","Medium",J235="L","Light",J235="D","Dark")</f>
        <v>Medium</v>
      </c>
      <c r="P235" t="str">
        <f>_xlfn.XLOOKUP(Orders[[#This Row],[Customer ID]],customers!$A$1:$A$1001,customers!$I$1:$I$1001,,0)</f>
        <v>No</v>
      </c>
    </row>
    <row r="236" spans="1:16" x14ac:dyDescent="0.25">
      <c r="A236" s="2" t="s">
        <v>1812</v>
      </c>
      <c r="B236" s="3">
        <v>44602</v>
      </c>
      <c r="C236" s="2" t="s">
        <v>1813</v>
      </c>
      <c r="D236" t="s">
        <v>6164</v>
      </c>
      <c r="E236" s="2">
        <v>1</v>
      </c>
      <c r="F236" s="2" t="str">
        <f>_xlfn.XLOOKUP(orders!C236,customers!$A$2:$A$1001,customers!$B$2:$B$1001)</f>
        <v>Tomas Sutty</v>
      </c>
      <c r="G236" s="2" t="str">
        <f>IF(_xlfn.XLOOKUP(C236,customers!$A$2:$A$1001,customers!$C$2:$C$1001,,)=0,"",_xlfn.XLOOKUP(C236,customers!$A$2:$A$1001,customers!$C$2:$C$1001,,))</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cm="1">
        <f t="array" ref="N236">_xlfn.IFS(I236="Rob","Robusta",I236="Exc","Excelsa",I236="Ara","Arabica",I236="Lib","Liberica")</f>
        <v>Liberica</v>
      </c>
      <c r="O236" t="str" cm="1">
        <f t="array" ref="O236">_xlfn.IFS(J236="M","Medium",J236="L","Light",J236="D","Dark")</f>
        <v>Light</v>
      </c>
      <c r="P236" t="str">
        <f>_xlfn.XLOOKUP(Orders[[#This Row],[Customer ID]],customers!$A$1:$A$1001,customers!$I$1:$I$1001,,0)</f>
        <v>No</v>
      </c>
    </row>
    <row r="237" spans="1:16" x14ac:dyDescent="0.25">
      <c r="A237" s="2" t="s">
        <v>1818</v>
      </c>
      <c r="B237" s="3">
        <v>43571</v>
      </c>
      <c r="C237" s="2" t="s">
        <v>1819</v>
      </c>
      <c r="D237" t="s">
        <v>6164</v>
      </c>
      <c r="E237" s="2">
        <v>5</v>
      </c>
      <c r="F237" s="2" t="str">
        <f>_xlfn.XLOOKUP(orders!C237,customers!$A$2:$A$1001,customers!$B$2:$B$1001)</f>
        <v>Samuele Ales0</v>
      </c>
      <c r="G237" s="2" t="str">
        <f>IF(_xlfn.XLOOKUP(C237,customers!$A$2:$A$1001,customers!$C$2:$C$1001,,)=0,"",_xlfn.XLOOKUP(C237,customers!$A$2:$A$1001,customers!$C$2:$C$1001,,))</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cm="1">
        <f t="array" ref="N237">_xlfn.IFS(I237="Rob","Robusta",I237="Exc","Excelsa",I237="Ara","Arabica",I237="Lib","Liberica")</f>
        <v>Liberica</v>
      </c>
      <c r="O237" t="str" cm="1">
        <f t="array" ref="O237">_xlfn.IFS(J237="M","Medium",J237="L","Light",J237="D","Dark")</f>
        <v>Light</v>
      </c>
      <c r="P237" t="str">
        <f>_xlfn.XLOOKUP(Orders[[#This Row],[Customer ID]],customers!$A$1:$A$1001,customers!$I$1:$I$1001,,0)</f>
        <v>No</v>
      </c>
    </row>
    <row r="238" spans="1:16" x14ac:dyDescent="0.25">
      <c r="A238" s="2" t="s">
        <v>1822</v>
      </c>
      <c r="B238" s="3">
        <v>43873</v>
      </c>
      <c r="C238" s="2" t="s">
        <v>1823</v>
      </c>
      <c r="D238" t="s">
        <v>6165</v>
      </c>
      <c r="E238" s="2">
        <v>3</v>
      </c>
      <c r="F238" s="2" t="str">
        <f>_xlfn.XLOOKUP(orders!C238,customers!$A$2:$A$1001,customers!$B$2:$B$1001)</f>
        <v>Carlie Harce</v>
      </c>
      <c r="G238" s="2" t="str">
        <f>IF(_xlfn.XLOOKUP(C238,customers!$A$2:$A$1001,customers!$C$2:$C$1001,,)=0,"",_xlfn.XLOOKUP(C238,customers!$A$2:$A$1001,customers!$C$2:$C$1001,,))</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cm="1">
        <f t="array" ref="N238">_xlfn.IFS(I238="Rob","Robusta",I238="Exc","Excelsa",I238="Ara","Arabica",I238="Lib","Liberica")</f>
        <v>Liberica</v>
      </c>
      <c r="O238" t="str" cm="1">
        <f t="array" ref="O238">_xlfn.IFS(J238="M","Medium",J238="L","Light",J238="D","Dark")</f>
        <v>Dark</v>
      </c>
      <c r="P238" t="str">
        <f>_xlfn.XLOOKUP(Orders[[#This Row],[Customer ID]],customers!$A$1:$A$1001,customers!$I$1:$I$1001,,0)</f>
        <v>No</v>
      </c>
    </row>
    <row r="239" spans="1:16" x14ac:dyDescent="0.25">
      <c r="A239" s="2" t="s">
        <v>1828</v>
      </c>
      <c r="B239" s="3">
        <v>44563</v>
      </c>
      <c r="C239" s="2" t="s">
        <v>1829</v>
      </c>
      <c r="D239" t="s">
        <v>6178</v>
      </c>
      <c r="E239" s="2">
        <v>1</v>
      </c>
      <c r="F239" s="2" t="str">
        <f>_xlfn.XLOOKUP(orders!C239,customers!$A$2:$A$1001,customers!$B$2:$B$1001)</f>
        <v>Craggy Bril</v>
      </c>
      <c r="G239" s="2" t="str">
        <f>IF(_xlfn.XLOOKUP(C239,customers!$A$2:$A$1001,customers!$C$2:$C$1001,,)=0,"",_xlfn.XLOOKUP(C239,customers!$A$2:$A$1001,customers!$C$2:$C$1001,,))</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cm="1">
        <f t="array" ref="N239">_xlfn.IFS(I239="Rob","Robusta",I239="Exc","Excelsa",I239="Ara","Arabica",I239="Lib","Liberica")</f>
        <v>Robusta</v>
      </c>
      <c r="O239" t="str" cm="1">
        <f t="array" ref="O239">_xlfn.IFS(J239="M","Medium",J239="L","Light",J239="D","Dark")</f>
        <v>Light</v>
      </c>
      <c r="P239" t="str">
        <f>_xlfn.XLOOKUP(Orders[[#This Row],[Customer ID]],customers!$A$1:$A$1001,customers!$I$1:$I$1001,,0)</f>
        <v>Yes</v>
      </c>
    </row>
    <row r="240" spans="1:16" x14ac:dyDescent="0.25">
      <c r="A240" s="2" t="s">
        <v>1833</v>
      </c>
      <c r="B240" s="3">
        <v>44172</v>
      </c>
      <c r="C240" s="2" t="s">
        <v>1834</v>
      </c>
      <c r="D240" t="s">
        <v>6151</v>
      </c>
      <c r="E240" s="2">
        <v>2</v>
      </c>
      <c r="F240" s="2" t="str">
        <f>_xlfn.XLOOKUP(orders!C240,customers!$A$2:$A$1001,customers!$B$2:$B$1001)</f>
        <v>Friederike Drysdale</v>
      </c>
      <c r="G240" s="2" t="str">
        <f>IF(_xlfn.XLOOKUP(C240,customers!$A$2:$A$1001,customers!$C$2:$C$1001,,)=0,"",_xlfn.XLOOKUP(C240,customers!$A$2:$A$1001,customers!$C$2:$C$1001,,))</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cm="1">
        <f t="array" ref="N240">_xlfn.IFS(I240="Rob","Robusta",I240="Exc","Excelsa",I240="Ara","Arabica",I240="Lib","Liberica")</f>
        <v>Robusta</v>
      </c>
      <c r="O240" t="str" cm="1">
        <f t="array" ref="O240">_xlfn.IFS(J240="M","Medium",J240="L","Light",J240="D","Dark")</f>
        <v>Medium</v>
      </c>
      <c r="P240" t="str">
        <f>_xlfn.XLOOKUP(Orders[[#This Row],[Customer ID]],customers!$A$1:$A$1001,customers!$I$1:$I$1001,,0)</f>
        <v>Yes</v>
      </c>
    </row>
    <row r="241" spans="1:16" x14ac:dyDescent="0.25">
      <c r="A241" s="2" t="s">
        <v>1839</v>
      </c>
      <c r="B241" s="3">
        <v>43881</v>
      </c>
      <c r="C241" s="2" t="s">
        <v>1840</v>
      </c>
      <c r="D241" t="s">
        <v>6171</v>
      </c>
      <c r="E241" s="2">
        <v>4</v>
      </c>
      <c r="F241" s="2" t="str">
        <f>_xlfn.XLOOKUP(orders!C241,customers!$A$2:$A$1001,customers!$B$2:$B$1001)</f>
        <v>Devon Magowan</v>
      </c>
      <c r="G241" s="2" t="str">
        <f>IF(_xlfn.XLOOKUP(C241,customers!$A$2:$A$1001,customers!$C$2:$C$1001,,)=0,"",_xlfn.XLOOKUP(C241,customers!$A$2:$A$1001,customers!$C$2:$C$1001,,))</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cm="1">
        <f t="array" ref="N241">_xlfn.IFS(I241="Rob","Robusta",I241="Exc","Excelsa",I241="Ara","Arabica",I241="Lib","Liberica")</f>
        <v>Excelsa</v>
      </c>
      <c r="O241" t="str" cm="1">
        <f t="array" ref="O241">_xlfn.IFS(J241="M","Medium",J241="L","Light",J241="D","Dark")</f>
        <v>Light</v>
      </c>
      <c r="P241" t="str">
        <f>_xlfn.XLOOKUP(Orders[[#This Row],[Customer ID]],customers!$A$1:$A$1001,customers!$I$1:$I$1001,,0)</f>
        <v>No</v>
      </c>
    </row>
    <row r="242" spans="1:16" x14ac:dyDescent="0.25">
      <c r="A242" s="2" t="s">
        <v>1845</v>
      </c>
      <c r="B242" s="3">
        <v>43993</v>
      </c>
      <c r="C242" s="2" t="s">
        <v>1846</v>
      </c>
      <c r="D242" t="s">
        <v>6175</v>
      </c>
      <c r="E242" s="2">
        <v>6</v>
      </c>
      <c r="F242" s="2" t="str">
        <f>_xlfn.XLOOKUP(orders!C242,customers!$A$2:$A$1001,customers!$B$2:$B$1001)</f>
        <v>Codi Littrell</v>
      </c>
      <c r="G242" s="2" t="str">
        <f>IF(_xlfn.XLOOKUP(C242,customers!$A$2:$A$1001,customers!$C$2:$C$1001,,)=0,"",_xlfn.XLOOKUP(C242,customers!$A$2:$A$1001,customers!$C$2:$C$1001,,))</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cm="1">
        <f t="array" ref="N242">_xlfn.IFS(I242="Rob","Robusta",I242="Exc","Excelsa",I242="Ara","Arabica",I242="Lib","Liberica")</f>
        <v>Arabica</v>
      </c>
      <c r="O242" t="str" cm="1">
        <f t="array" ref="O242">_xlfn.IFS(J242="M","Medium",J242="L","Light",J242="D","Dark")</f>
        <v>Medium</v>
      </c>
      <c r="P242" t="str">
        <f>_xlfn.XLOOKUP(Orders[[#This Row],[Customer ID]],customers!$A$1:$A$1001,customers!$I$1:$I$1001,,0)</f>
        <v>Yes</v>
      </c>
    </row>
    <row r="243" spans="1:16" x14ac:dyDescent="0.25">
      <c r="A243" s="2" t="s">
        <v>1849</v>
      </c>
      <c r="B243" s="3">
        <v>44082</v>
      </c>
      <c r="C243" s="2" t="s">
        <v>1850</v>
      </c>
      <c r="D243" t="s">
        <v>6151</v>
      </c>
      <c r="E243" s="2">
        <v>2</v>
      </c>
      <c r="F243" s="2" t="str">
        <f>_xlfn.XLOOKUP(orders!C243,customers!$A$2:$A$1001,customers!$B$2:$B$1001)</f>
        <v>Christel Speak</v>
      </c>
      <c r="G243" s="2" t="str">
        <f>IF(_xlfn.XLOOKUP(C243,customers!$A$2:$A$1001,customers!$C$2:$C$1001,,)=0,"",_xlfn.XLOOKUP(C243,customers!$A$2:$A$1001,customers!$C$2:$C$1001,,))</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cm="1">
        <f t="array" ref="N243">_xlfn.IFS(I243="Rob","Robusta",I243="Exc","Excelsa",I243="Ara","Arabica",I243="Lib","Liberica")</f>
        <v>Robusta</v>
      </c>
      <c r="O243" t="str" cm="1">
        <f t="array" ref="O243">_xlfn.IFS(J243="M","Medium",J243="L","Light",J243="D","Dark")</f>
        <v>Medium</v>
      </c>
      <c r="P243" t="str">
        <f>_xlfn.XLOOKUP(Orders[[#This Row],[Customer ID]],customers!$A$1:$A$1001,customers!$I$1:$I$1001,,0)</f>
        <v>No</v>
      </c>
    </row>
    <row r="244" spans="1:16" x14ac:dyDescent="0.25">
      <c r="A244" s="2" t="s">
        <v>1854</v>
      </c>
      <c r="B244" s="3">
        <v>43918</v>
      </c>
      <c r="C244" s="2" t="s">
        <v>1855</v>
      </c>
      <c r="D244" t="s">
        <v>6183</v>
      </c>
      <c r="E244" s="2">
        <v>3</v>
      </c>
      <c r="F244" s="2" t="str">
        <f>_xlfn.XLOOKUP(orders!C244,customers!$A$2:$A$1001,customers!$B$2:$B$1001)</f>
        <v>Sibella Rushbrooke</v>
      </c>
      <c r="G244" s="2" t="str">
        <f>IF(_xlfn.XLOOKUP(C244,customers!$A$2:$A$1001,customers!$C$2:$C$1001,,)=0,"",_xlfn.XLOOKUP(C244,customers!$A$2:$A$1001,customers!$C$2:$C$1001,,))</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cm="1">
        <f t="array" ref="N244">_xlfn.IFS(I244="Rob","Robusta",I244="Exc","Excelsa",I244="Ara","Arabica",I244="Lib","Liberica")</f>
        <v>Excelsa</v>
      </c>
      <c r="O244" t="str" cm="1">
        <f t="array" ref="O244">_xlfn.IFS(J244="M","Medium",J244="L","Light",J244="D","Dark")</f>
        <v>Dark</v>
      </c>
      <c r="P244" t="str">
        <f>_xlfn.XLOOKUP(Orders[[#This Row],[Customer ID]],customers!$A$1:$A$1001,customers!$I$1:$I$1001,,0)</f>
        <v>Yes</v>
      </c>
    </row>
    <row r="245" spans="1:16" x14ac:dyDescent="0.25">
      <c r="A245" s="2" t="s">
        <v>1860</v>
      </c>
      <c r="B245" s="3">
        <v>44114</v>
      </c>
      <c r="C245" s="2" t="s">
        <v>1861</v>
      </c>
      <c r="D245" t="s">
        <v>6144</v>
      </c>
      <c r="E245" s="2">
        <v>4</v>
      </c>
      <c r="F245" s="2" t="str">
        <f>_xlfn.XLOOKUP(orders!C245,customers!$A$2:$A$1001,customers!$B$2:$B$1001)</f>
        <v>Tammie Drynan</v>
      </c>
      <c r="G245" s="2" t="str">
        <f>IF(_xlfn.XLOOKUP(C245,customers!$A$2:$A$1001,customers!$C$2:$C$1001,,)=0,"",_xlfn.XLOOKUP(C245,customers!$A$2:$A$1001,customers!$C$2:$C$1001,,))</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cm="1">
        <f t="array" ref="N245">_xlfn.IFS(I245="Rob","Robusta",I245="Exc","Excelsa",I245="Ara","Arabica",I245="Lib","Liberica")</f>
        <v>Excelsa</v>
      </c>
      <c r="O245" t="str" cm="1">
        <f t="array" ref="O245">_xlfn.IFS(J245="M","Medium",J245="L","Light",J245="D","Dark")</f>
        <v>Dark</v>
      </c>
      <c r="P245" t="str">
        <f>_xlfn.XLOOKUP(Orders[[#This Row],[Customer ID]],customers!$A$1:$A$1001,customers!$I$1:$I$1001,,0)</f>
        <v>Yes</v>
      </c>
    </row>
    <row r="246" spans="1:16" x14ac:dyDescent="0.25">
      <c r="A246" s="2" t="s">
        <v>1866</v>
      </c>
      <c r="B246" s="3">
        <v>44702</v>
      </c>
      <c r="C246" s="2" t="s">
        <v>1867</v>
      </c>
      <c r="D246" t="s">
        <v>6181</v>
      </c>
      <c r="E246" s="2">
        <v>4</v>
      </c>
      <c r="F246" s="2" t="str">
        <f>_xlfn.XLOOKUP(orders!C246,customers!$A$2:$A$1001,customers!$B$2:$B$1001)</f>
        <v>Effie Yurkov</v>
      </c>
      <c r="G246" s="2" t="str">
        <f>IF(_xlfn.XLOOKUP(C246,customers!$A$2:$A$1001,customers!$C$2:$C$1001,,)=0,"",_xlfn.XLOOKUP(C246,customers!$A$2:$A$1001,customers!$C$2:$C$1001,,))</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cm="1">
        <f t="array" ref="N246">_xlfn.IFS(I246="Rob","Robusta",I246="Exc","Excelsa",I246="Ara","Arabica",I246="Lib","Liberica")</f>
        <v>Liberica</v>
      </c>
      <c r="O246" t="str" cm="1">
        <f t="array" ref="O246">_xlfn.IFS(J246="M","Medium",J246="L","Light",J246="D","Dark")</f>
        <v>Medium</v>
      </c>
      <c r="P246" t="str">
        <f>_xlfn.XLOOKUP(Orders[[#This Row],[Customer ID]],customers!$A$1:$A$1001,customers!$I$1:$I$1001,,0)</f>
        <v>No</v>
      </c>
    </row>
    <row r="247" spans="1:16" x14ac:dyDescent="0.25">
      <c r="A247" s="2" t="s">
        <v>1872</v>
      </c>
      <c r="B247" s="3">
        <v>43951</v>
      </c>
      <c r="C247" s="2" t="s">
        <v>1873</v>
      </c>
      <c r="D247" t="s">
        <v>6145</v>
      </c>
      <c r="E247" s="2">
        <v>5</v>
      </c>
      <c r="F247" s="2" t="str">
        <f>_xlfn.XLOOKUP(orders!C247,customers!$A$2:$A$1001,customers!$B$2:$B$1001)</f>
        <v>Lexie Mallan</v>
      </c>
      <c r="G247" s="2" t="str">
        <f>IF(_xlfn.XLOOKUP(C247,customers!$A$2:$A$1001,customers!$C$2:$C$1001,,)=0,"",_xlfn.XLOOKUP(C247,customers!$A$2:$A$1001,customers!$C$2:$C$1001,,))</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cm="1">
        <f t="array" ref="N247">_xlfn.IFS(I247="Rob","Robusta",I247="Exc","Excelsa",I247="Ara","Arabica",I247="Lib","Liberica")</f>
        <v>Liberica</v>
      </c>
      <c r="O247" t="str" cm="1">
        <f t="array" ref="O247">_xlfn.IFS(J247="M","Medium",J247="L","Light",J247="D","Dark")</f>
        <v>Light</v>
      </c>
      <c r="P247" t="str">
        <f>_xlfn.XLOOKUP(Orders[[#This Row],[Customer ID]],customers!$A$1:$A$1001,customers!$I$1:$I$1001,,0)</f>
        <v>Yes</v>
      </c>
    </row>
    <row r="248" spans="1:16" x14ac:dyDescent="0.25">
      <c r="A248" s="2" t="s">
        <v>1878</v>
      </c>
      <c r="B248" s="3">
        <v>44542</v>
      </c>
      <c r="C248" s="2" t="s">
        <v>1879</v>
      </c>
      <c r="D248" t="s">
        <v>6143</v>
      </c>
      <c r="E248" s="2">
        <v>3</v>
      </c>
      <c r="F248" s="2" t="str">
        <f>_xlfn.XLOOKUP(orders!C248,customers!$A$2:$A$1001,customers!$B$2:$B$1001)</f>
        <v>Georgena Bentjens</v>
      </c>
      <c r="G248" s="2" t="str">
        <f>IF(_xlfn.XLOOKUP(C248,customers!$A$2:$A$1001,customers!$C$2:$C$1001,,)=0,"",_xlfn.XLOOKUP(C248,customers!$A$2:$A$1001,customers!$C$2:$C$1001,,))</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cm="1">
        <f t="array" ref="N248">_xlfn.IFS(I248="Rob","Robusta",I248="Exc","Excelsa",I248="Ara","Arabica",I248="Lib","Liberica")</f>
        <v>Liberica</v>
      </c>
      <c r="O248" t="str" cm="1">
        <f t="array" ref="O248">_xlfn.IFS(J248="M","Medium",J248="L","Light",J248="D","Dark")</f>
        <v>Dark</v>
      </c>
      <c r="P248" t="str">
        <f>_xlfn.XLOOKUP(Orders[[#This Row],[Customer ID]],customers!$A$1:$A$1001,customers!$I$1:$I$1001,,0)</f>
        <v>No</v>
      </c>
    </row>
    <row r="249" spans="1:16" x14ac:dyDescent="0.25">
      <c r="A249" s="2" t="s">
        <v>1884</v>
      </c>
      <c r="B249" s="3">
        <v>44131</v>
      </c>
      <c r="C249" s="2" t="s">
        <v>1885</v>
      </c>
      <c r="D249" t="s">
        <v>6178</v>
      </c>
      <c r="E249" s="2">
        <v>6</v>
      </c>
      <c r="F249" s="2" t="str">
        <f>_xlfn.XLOOKUP(orders!C249,customers!$A$2:$A$1001,customers!$B$2:$B$1001)</f>
        <v>Delmar Beasant</v>
      </c>
      <c r="G249" s="2" t="str">
        <f>IF(_xlfn.XLOOKUP(C249,customers!$A$2:$A$1001,customers!$C$2:$C$1001,,)=0,"",_xlfn.XLOOKUP(C249,customers!$A$2:$A$1001,customers!$C$2:$C$1001,,))</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cm="1">
        <f t="array" ref="N249">_xlfn.IFS(I249="Rob","Robusta",I249="Exc","Excelsa",I249="Ara","Arabica",I249="Lib","Liberica")</f>
        <v>Robusta</v>
      </c>
      <c r="O249" t="str" cm="1">
        <f t="array" ref="O249">_xlfn.IFS(J249="M","Medium",J249="L","Light",J249="D","Dark")</f>
        <v>Light</v>
      </c>
      <c r="P249" t="str">
        <f>_xlfn.XLOOKUP(Orders[[#This Row],[Customer ID]],customers!$A$1:$A$1001,customers!$I$1:$I$1001,,0)</f>
        <v>Yes</v>
      </c>
    </row>
    <row r="250" spans="1:16" x14ac:dyDescent="0.25">
      <c r="A250" s="2" t="s">
        <v>1889</v>
      </c>
      <c r="B250" s="3">
        <v>44019</v>
      </c>
      <c r="C250" s="2" t="s">
        <v>1890</v>
      </c>
      <c r="D250" t="s">
        <v>6147</v>
      </c>
      <c r="E250" s="2">
        <v>1</v>
      </c>
      <c r="F250" s="2" t="str">
        <f>_xlfn.XLOOKUP(orders!C250,customers!$A$2:$A$1001,customers!$B$2:$B$1001)</f>
        <v>Lyn Entwistle</v>
      </c>
      <c r="G250" s="2" t="str">
        <f>IF(_xlfn.XLOOKUP(C250,customers!$A$2:$A$1001,customers!$C$2:$C$1001,,)=0,"",_xlfn.XLOOKUP(C250,customers!$A$2:$A$1001,customers!$C$2:$C$1001,,))</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cm="1">
        <f t="array" ref="N250">_xlfn.IFS(I250="Rob","Robusta",I250="Exc","Excelsa",I250="Ara","Arabica",I250="Lib","Liberica")</f>
        <v>Arabica</v>
      </c>
      <c r="O250" t="str" cm="1">
        <f t="array" ref="O250">_xlfn.IFS(J250="M","Medium",J250="L","Light",J250="D","Dark")</f>
        <v>Dark</v>
      </c>
      <c r="P250" t="str">
        <f>_xlfn.XLOOKUP(Orders[[#This Row],[Customer ID]],customers!$A$1:$A$1001,customers!$I$1:$I$1001,,0)</f>
        <v>Yes</v>
      </c>
    </row>
    <row r="251" spans="1:16" x14ac:dyDescent="0.25">
      <c r="A251" s="2" t="s">
        <v>1895</v>
      </c>
      <c r="B251" s="3">
        <v>43861</v>
      </c>
      <c r="C251" s="2" t="s">
        <v>1935</v>
      </c>
      <c r="D251" t="s">
        <v>6170</v>
      </c>
      <c r="E251" s="2">
        <v>1</v>
      </c>
      <c r="F251" s="2" t="str">
        <f>_xlfn.XLOOKUP(orders!C251,customers!$A$2:$A$1001,customers!$B$2:$B$1001)</f>
        <v>Zacharias Kiffe</v>
      </c>
      <c r="G251" s="2" t="str">
        <f>IF(_xlfn.XLOOKUP(C251,customers!$A$2:$A$1001,customers!$C$2:$C$1001,,)=0,"",_xlfn.XLOOKUP(C251,customers!$A$2:$A$1001,customers!$C$2:$C$1001,,))</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cm="1">
        <f t="array" ref="N251">_xlfn.IFS(I251="Rob","Robusta",I251="Exc","Excelsa",I251="Ara","Arabica",I251="Lib","Liberica")</f>
        <v>Liberica</v>
      </c>
      <c r="O251" t="str" cm="1">
        <f t="array" ref="O251">_xlfn.IFS(J251="M","Medium",J251="L","Light",J251="D","Dark")</f>
        <v>Light</v>
      </c>
      <c r="P251" t="str">
        <f>_xlfn.XLOOKUP(Orders[[#This Row],[Customer ID]],customers!$A$1:$A$1001,customers!$I$1:$I$1001,,0)</f>
        <v>Yes</v>
      </c>
    </row>
    <row r="252" spans="1:16" x14ac:dyDescent="0.25">
      <c r="A252" s="2" t="s">
        <v>1900</v>
      </c>
      <c r="B252" s="3">
        <v>43879</v>
      </c>
      <c r="C252" s="2" t="s">
        <v>1901</v>
      </c>
      <c r="D252" t="s">
        <v>6174</v>
      </c>
      <c r="E252" s="2">
        <v>1</v>
      </c>
      <c r="F252" s="2" t="str">
        <f>_xlfn.XLOOKUP(orders!C252,customers!$A$2:$A$1001,customers!$B$2:$B$1001)</f>
        <v>Mercedes Acott</v>
      </c>
      <c r="G252" s="2" t="str">
        <f>IF(_xlfn.XLOOKUP(C252,customers!$A$2:$A$1001,customers!$C$2:$C$1001,,)=0,"",_xlfn.XLOOKUP(C252,customers!$A$2:$A$1001,customers!$C$2:$C$1001,,))</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cm="1">
        <f t="array" ref="N252">_xlfn.IFS(I252="Rob","Robusta",I252="Exc","Excelsa",I252="Ara","Arabica",I252="Lib","Liberica")</f>
        <v>Robusta</v>
      </c>
      <c r="O252" t="str" cm="1">
        <f t="array" ref="O252">_xlfn.IFS(J252="M","Medium",J252="L","Light",J252="D","Dark")</f>
        <v>Medium</v>
      </c>
      <c r="P252" t="str">
        <f>_xlfn.XLOOKUP(Orders[[#This Row],[Customer ID]],customers!$A$1:$A$1001,customers!$I$1:$I$1001,,0)</f>
        <v>Yes</v>
      </c>
    </row>
    <row r="253" spans="1:16" x14ac:dyDescent="0.25">
      <c r="A253" s="2" t="s">
        <v>1906</v>
      </c>
      <c r="B253" s="3">
        <v>44360</v>
      </c>
      <c r="C253" s="2" t="s">
        <v>1907</v>
      </c>
      <c r="D253" t="s">
        <v>6141</v>
      </c>
      <c r="E253" s="2">
        <v>5</v>
      </c>
      <c r="F253" s="2" t="str">
        <f>_xlfn.XLOOKUP(orders!C253,customers!$A$2:$A$1001,customers!$B$2:$B$1001)</f>
        <v>Connor Heaviside</v>
      </c>
      <c r="G253" s="2" t="str">
        <f>IF(_xlfn.XLOOKUP(C253,customers!$A$2:$A$1001,customers!$C$2:$C$1001,,)=0,"",_xlfn.XLOOKUP(C253,customers!$A$2:$A$1001,customers!$C$2:$C$1001,,))</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cm="1">
        <f t="array" ref="N253">_xlfn.IFS(I253="Rob","Robusta",I253="Exc","Excelsa",I253="Ara","Arabica",I253="Lib","Liberica")</f>
        <v>Excelsa</v>
      </c>
      <c r="O253" t="str" cm="1">
        <f t="array" ref="O253">_xlfn.IFS(J253="M","Medium",J253="L","Light",J253="D","Dark")</f>
        <v>Medium</v>
      </c>
      <c r="P253" t="str">
        <f>_xlfn.XLOOKUP(Orders[[#This Row],[Customer ID]],customers!$A$1:$A$1001,customers!$I$1:$I$1001,,0)</f>
        <v>Yes</v>
      </c>
    </row>
    <row r="254" spans="1:16" x14ac:dyDescent="0.25">
      <c r="A254" s="2" t="s">
        <v>1912</v>
      </c>
      <c r="B254" s="3">
        <v>44779</v>
      </c>
      <c r="C254" s="2" t="s">
        <v>1913</v>
      </c>
      <c r="D254" t="s">
        <v>6147</v>
      </c>
      <c r="E254" s="2">
        <v>3</v>
      </c>
      <c r="F254" s="2" t="str">
        <f>_xlfn.XLOOKUP(orders!C254,customers!$A$2:$A$1001,customers!$B$2:$B$1001)</f>
        <v>Devy Bulbrook</v>
      </c>
      <c r="G254" s="2" t="str">
        <f>IF(_xlfn.XLOOKUP(C254,customers!$A$2:$A$1001,customers!$C$2:$C$1001,,)=0,"",_xlfn.XLOOKUP(C254,customers!$A$2:$A$1001,customers!$C$2:$C$1001,,))</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cm="1">
        <f t="array" ref="N254">_xlfn.IFS(I254="Rob","Robusta",I254="Exc","Excelsa",I254="Ara","Arabica",I254="Lib","Liberica")</f>
        <v>Arabica</v>
      </c>
      <c r="O254" t="str" cm="1">
        <f t="array" ref="O254">_xlfn.IFS(J254="M","Medium",J254="L","Light",J254="D","Dark")</f>
        <v>Dark</v>
      </c>
      <c r="P254" t="str">
        <f>_xlfn.XLOOKUP(Orders[[#This Row],[Customer ID]],customers!$A$1:$A$1001,customers!$I$1:$I$1001,,0)</f>
        <v>No</v>
      </c>
    </row>
    <row r="255" spans="1:16" x14ac:dyDescent="0.25">
      <c r="A255" s="2" t="s">
        <v>1917</v>
      </c>
      <c r="B255" s="3">
        <v>44523</v>
      </c>
      <c r="C255" s="2" t="s">
        <v>1918</v>
      </c>
      <c r="D255" t="s">
        <v>6162</v>
      </c>
      <c r="E255" s="2">
        <v>4</v>
      </c>
      <c r="F255" s="2" t="str">
        <f>_xlfn.XLOOKUP(orders!C255,customers!$A$2:$A$1001,customers!$B$2:$B$1001)</f>
        <v>Leia Kernan</v>
      </c>
      <c r="G255" s="2" t="str">
        <f>IF(_xlfn.XLOOKUP(C255,customers!$A$2:$A$1001,customers!$C$2:$C$1001,,)=0,"",_xlfn.XLOOKUP(C255,customers!$A$2:$A$1001,customers!$C$2:$C$1001,,))</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cm="1">
        <f t="array" ref="N255">_xlfn.IFS(I255="Rob","Robusta",I255="Exc","Excelsa",I255="Ara","Arabica",I255="Lib","Liberica")</f>
        <v>Liberica</v>
      </c>
      <c r="O255" t="str" cm="1">
        <f t="array" ref="O255">_xlfn.IFS(J255="M","Medium",J255="L","Light",J255="D","Dark")</f>
        <v>Medium</v>
      </c>
      <c r="P255" t="str">
        <f>_xlfn.XLOOKUP(Orders[[#This Row],[Customer ID]],customers!$A$1:$A$1001,customers!$I$1:$I$1001,,0)</f>
        <v>No</v>
      </c>
    </row>
    <row r="256" spans="1:16" x14ac:dyDescent="0.25">
      <c r="A256" s="2" t="s">
        <v>1923</v>
      </c>
      <c r="B256" s="3">
        <v>44482</v>
      </c>
      <c r="C256" s="2" t="s">
        <v>1924</v>
      </c>
      <c r="D256" t="s">
        <v>6173</v>
      </c>
      <c r="E256" s="2">
        <v>4</v>
      </c>
      <c r="F256" s="2" t="str">
        <f>_xlfn.XLOOKUP(orders!C256,customers!$A$2:$A$1001,customers!$B$2:$B$1001)</f>
        <v>Rosaline McLae</v>
      </c>
      <c r="G256" s="2" t="str">
        <f>IF(_xlfn.XLOOKUP(C256,customers!$A$2:$A$1001,customers!$C$2:$C$1001,,)=0,"",_xlfn.XLOOKUP(C256,customers!$A$2:$A$1001,customers!$C$2:$C$1001,,))</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cm="1">
        <f t="array" ref="N256">_xlfn.IFS(I256="Rob","Robusta",I256="Exc","Excelsa",I256="Ara","Arabica",I256="Lib","Liberica")</f>
        <v>Robusta</v>
      </c>
      <c r="O256" t="str" cm="1">
        <f t="array" ref="O256">_xlfn.IFS(J256="M","Medium",J256="L","Light",J256="D","Dark")</f>
        <v>Light</v>
      </c>
      <c r="P256" t="str">
        <f>_xlfn.XLOOKUP(Orders[[#This Row],[Customer ID]],customers!$A$1:$A$1001,customers!$I$1:$I$1001,,0)</f>
        <v>No</v>
      </c>
    </row>
    <row r="257" spans="1:16" x14ac:dyDescent="0.25">
      <c r="A257" s="2" t="s">
        <v>1928</v>
      </c>
      <c r="B257" s="3">
        <v>44439</v>
      </c>
      <c r="C257" s="2" t="s">
        <v>1929</v>
      </c>
      <c r="D257" t="s">
        <v>6173</v>
      </c>
      <c r="E257" s="2">
        <v>3</v>
      </c>
      <c r="F257" s="2" t="str">
        <f>_xlfn.XLOOKUP(orders!C257,customers!$A$2:$A$1001,customers!$B$2:$B$1001)</f>
        <v>Cleve Blowfelde</v>
      </c>
      <c r="G257" s="2" t="str">
        <f>IF(_xlfn.XLOOKUP(C257,customers!$A$2:$A$1001,customers!$C$2:$C$1001,,)=0,"",_xlfn.XLOOKUP(C257,customers!$A$2:$A$1001,customers!$C$2:$C$1001,,))</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cm="1">
        <f t="array" ref="N257">_xlfn.IFS(I257="Rob","Robusta",I257="Exc","Excelsa",I257="Ara","Arabica",I257="Lib","Liberica")</f>
        <v>Robusta</v>
      </c>
      <c r="O257" t="str" cm="1">
        <f t="array" ref="O257">_xlfn.IFS(J257="M","Medium",J257="L","Light",J257="D","Dark")</f>
        <v>Light</v>
      </c>
      <c r="P257" t="str">
        <f>_xlfn.XLOOKUP(Orders[[#This Row],[Customer ID]],customers!$A$1:$A$1001,customers!$I$1:$I$1001,,0)</f>
        <v>No</v>
      </c>
    </row>
    <row r="258" spans="1:16" x14ac:dyDescent="0.25">
      <c r="A258" s="2" t="s">
        <v>1934</v>
      </c>
      <c r="B258" s="3">
        <v>43846</v>
      </c>
      <c r="C258" s="2" t="s">
        <v>1935</v>
      </c>
      <c r="D258" t="s">
        <v>6160</v>
      </c>
      <c r="E258" s="2">
        <v>2</v>
      </c>
      <c r="F258" s="2" t="str">
        <f>_xlfn.XLOOKUP(orders!C258,customers!$A$2:$A$1001,customers!$B$2:$B$1001)</f>
        <v>Zacharias Kiffe</v>
      </c>
      <c r="G258" s="2" t="str">
        <f>IF(_xlfn.XLOOKUP(C258,customers!$A$2:$A$1001,customers!$C$2:$C$1001,,)=0,"",_xlfn.XLOOKUP(C258,customers!$A$2:$A$1001,customers!$C$2:$C$1001,,))</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cm="1">
        <f t="array" ref="N258">_xlfn.IFS(I258="Rob","Robusta",I258="Exc","Excelsa",I258="Ara","Arabica",I258="Lib","Liberica")</f>
        <v>Liberica</v>
      </c>
      <c r="O258" t="str" cm="1">
        <f t="array" ref="O258">_xlfn.IFS(J258="M","Medium",J258="L","Light",J258="D","Dark")</f>
        <v>Medium</v>
      </c>
      <c r="P258" t="str">
        <f>_xlfn.XLOOKUP(Orders[[#This Row],[Customer ID]],customers!$A$1:$A$1001,customers!$I$1:$I$1001,,0)</f>
        <v>Yes</v>
      </c>
    </row>
    <row r="259" spans="1:16" x14ac:dyDescent="0.25">
      <c r="A259" s="2" t="s">
        <v>1940</v>
      </c>
      <c r="B259" s="3">
        <v>44676</v>
      </c>
      <c r="C259" s="2" t="s">
        <v>1941</v>
      </c>
      <c r="D259" t="s">
        <v>6185</v>
      </c>
      <c r="E259" s="2">
        <v>1</v>
      </c>
      <c r="F259" s="2" t="str">
        <f>_xlfn.XLOOKUP(orders!C259,customers!$A$2:$A$1001,customers!$B$2:$B$1001)</f>
        <v>Denyse O'Calleran</v>
      </c>
      <c r="G259" s="2" t="str">
        <f>IF(_xlfn.XLOOKUP(C259,customers!$A$2:$A$1001,customers!$C$2:$C$1001,,)=0,"",_xlfn.XLOOKUP(C259,customers!$A$2:$A$1001,customers!$C$2:$C$1001,,))</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L259*E259</f>
        <v>27.945</v>
      </c>
      <c r="N259" t="str" cm="1">
        <f t="array" ref="N259">_xlfn.IFS(I259="Rob","Robusta",I259="Exc","Excelsa",I259="Ara","Arabica",I259="Lib","Liberica")</f>
        <v>Excelsa</v>
      </c>
      <c r="O259" t="str" cm="1">
        <f t="array" ref="O259">_xlfn.IFS(J259="M","Medium",J259="L","Light",J259="D","Dark")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_xlfn.XLOOKUP(orders!C260,customers!$A$2:$A$1001,customers!$B$2:$B$1001)</f>
        <v>Cobby Cromwell</v>
      </c>
      <c r="G260" s="2" t="str">
        <f>IF(_xlfn.XLOOKUP(C260,customers!$A$2:$A$1001,customers!$C$2:$C$1001,,)=0,"",_xlfn.XLOOKUP(C260,customers!$A$2:$A$1001,customers!$C$2:$C$1001,,))</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cm="1">
        <f t="array" ref="N260">_xlfn.IFS(I260="Rob","Robusta",I260="Exc","Excelsa",I260="Ara","Arabica",I260="Lib","Liberica")</f>
        <v>Excelsa</v>
      </c>
      <c r="O260" t="str" cm="1">
        <f t="array" ref="O260">_xlfn.IFS(J260="M","Medium",J260="L","Light",J260="D","Dark")</f>
        <v>Dark</v>
      </c>
      <c r="P260" t="str">
        <f>_xlfn.XLOOKUP(Orders[[#This Row],[Customer ID]],customers!$A$1:$A$1001,customers!$I$1:$I$1001,,0)</f>
        <v>No</v>
      </c>
    </row>
    <row r="261" spans="1:16" x14ac:dyDescent="0.25">
      <c r="A261" s="2" t="s">
        <v>1952</v>
      </c>
      <c r="B261" s="3">
        <v>44355</v>
      </c>
      <c r="C261" s="2" t="s">
        <v>1953</v>
      </c>
      <c r="D261" t="s">
        <v>6174</v>
      </c>
      <c r="E261" s="2">
        <v>2</v>
      </c>
      <c r="F261" s="2" t="str">
        <f>_xlfn.XLOOKUP(orders!C261,customers!$A$2:$A$1001,customers!$B$2:$B$1001)</f>
        <v>Irv Hay</v>
      </c>
      <c r="G261" s="2" t="str">
        <f>IF(_xlfn.XLOOKUP(C261,customers!$A$2:$A$1001,customers!$C$2:$C$1001,,)=0,"",_xlfn.XLOOKUP(C261,customers!$A$2:$A$1001,customers!$C$2:$C$1001,,))</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cm="1">
        <f t="array" ref="N261">_xlfn.IFS(I261="Rob","Robusta",I261="Exc","Excelsa",I261="Ara","Arabica",I261="Lib","Liberica")</f>
        <v>Robusta</v>
      </c>
      <c r="O261" t="str" cm="1">
        <f t="array" ref="O261">_xlfn.IFS(J261="M","Medium",J261="L","Light",J261="D","Dark")</f>
        <v>Medium</v>
      </c>
      <c r="P261" t="str">
        <f>_xlfn.XLOOKUP(Orders[[#This Row],[Customer ID]],customers!$A$1:$A$1001,customers!$I$1:$I$1001,,0)</f>
        <v>No</v>
      </c>
    </row>
    <row r="262" spans="1:16" x14ac:dyDescent="0.25">
      <c r="A262" s="2" t="s">
        <v>1958</v>
      </c>
      <c r="B262" s="3">
        <v>44156</v>
      </c>
      <c r="C262" s="2" t="s">
        <v>1959</v>
      </c>
      <c r="D262" t="s">
        <v>6142</v>
      </c>
      <c r="E262" s="2">
        <v>1</v>
      </c>
      <c r="F262" s="2" t="str">
        <f>_xlfn.XLOOKUP(orders!C262,customers!$A$2:$A$1001,customers!$B$2:$B$1001)</f>
        <v>Tani Taffarello</v>
      </c>
      <c r="G262" s="2" t="str">
        <f>IF(_xlfn.XLOOKUP(C262,customers!$A$2:$A$1001,customers!$C$2:$C$1001,,)=0,"",_xlfn.XLOOKUP(C262,customers!$A$2:$A$1001,customers!$C$2:$C$1001,,))</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cm="1">
        <f t="array" ref="N262">_xlfn.IFS(I262="Rob","Robusta",I262="Exc","Excelsa",I262="Ara","Arabica",I262="Lib","Liberica")</f>
        <v>Robusta</v>
      </c>
      <c r="O262" t="str" cm="1">
        <f t="array" ref="O262">_xlfn.IFS(J262="M","Medium",J262="L","Light",J262="D","Dark")</f>
        <v>Light</v>
      </c>
      <c r="P262" t="str">
        <f>_xlfn.XLOOKUP(Orders[[#This Row],[Customer ID]],customers!$A$1:$A$1001,customers!$I$1:$I$1001,,0)</f>
        <v>Yes</v>
      </c>
    </row>
    <row r="263" spans="1:16" x14ac:dyDescent="0.25">
      <c r="A263" s="2" t="s">
        <v>1963</v>
      </c>
      <c r="B263" s="3">
        <v>43538</v>
      </c>
      <c r="C263" s="2" t="s">
        <v>1964</v>
      </c>
      <c r="D263" t="s">
        <v>6179</v>
      </c>
      <c r="E263" s="2">
        <v>5</v>
      </c>
      <c r="F263" s="2" t="str">
        <f>_xlfn.XLOOKUP(orders!C263,customers!$A$2:$A$1001,customers!$B$2:$B$1001)</f>
        <v>Monique Canty</v>
      </c>
      <c r="G263" s="2" t="str">
        <f>IF(_xlfn.XLOOKUP(C263,customers!$A$2:$A$1001,customers!$C$2:$C$1001,,)=0,"",_xlfn.XLOOKUP(C263,customers!$A$2:$A$1001,customers!$C$2:$C$1001,,))</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cm="1">
        <f t="array" ref="N263">_xlfn.IFS(I263="Rob","Robusta",I263="Exc","Excelsa",I263="Ara","Arabica",I263="Lib","Liberica")</f>
        <v>Robusta</v>
      </c>
      <c r="O263" t="str" cm="1">
        <f t="array" ref="O263">_xlfn.IFS(J263="M","Medium",J263="L","Light",J263="D","Dark")</f>
        <v>Light</v>
      </c>
      <c r="P263" t="str">
        <f>_xlfn.XLOOKUP(Orders[[#This Row],[Customer ID]],customers!$A$1:$A$1001,customers!$I$1:$I$1001,,0)</f>
        <v>Yes</v>
      </c>
    </row>
    <row r="264" spans="1:16" x14ac:dyDescent="0.25">
      <c r="A264" s="2" t="s">
        <v>1969</v>
      </c>
      <c r="B264" s="3">
        <v>43693</v>
      </c>
      <c r="C264" s="2" t="s">
        <v>1970</v>
      </c>
      <c r="D264" t="s">
        <v>6141</v>
      </c>
      <c r="E264" s="2">
        <v>3</v>
      </c>
      <c r="F264" s="2" t="str">
        <f>_xlfn.XLOOKUP(orders!C264,customers!$A$2:$A$1001,customers!$B$2:$B$1001)</f>
        <v>Javier Kopke</v>
      </c>
      <c r="G264" s="2" t="str">
        <f>IF(_xlfn.XLOOKUP(C264,customers!$A$2:$A$1001,customers!$C$2:$C$1001,,)=0,"",_xlfn.XLOOKUP(C264,customers!$A$2:$A$1001,customers!$C$2:$C$1001,,))</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cm="1">
        <f t="array" ref="N264">_xlfn.IFS(I264="Rob","Robusta",I264="Exc","Excelsa",I264="Ara","Arabica",I264="Lib","Liberica")</f>
        <v>Excelsa</v>
      </c>
      <c r="O264" t="str" cm="1">
        <f t="array" ref="O264">_xlfn.IFS(J264="M","Medium",J264="L","Light",J264="D","Dark")</f>
        <v>Medium</v>
      </c>
      <c r="P264" t="str">
        <f>_xlfn.XLOOKUP(Orders[[#This Row],[Customer ID]],customers!$A$1:$A$1001,customers!$I$1:$I$1001,,0)</f>
        <v>No</v>
      </c>
    </row>
    <row r="265" spans="1:16" x14ac:dyDescent="0.25">
      <c r="A265" s="2" t="s">
        <v>1975</v>
      </c>
      <c r="B265" s="3">
        <v>43577</v>
      </c>
      <c r="C265" s="2" t="s">
        <v>1976</v>
      </c>
      <c r="D265" t="s">
        <v>6181</v>
      </c>
      <c r="E265" s="2">
        <v>4</v>
      </c>
      <c r="F265" s="2" t="str">
        <f>_xlfn.XLOOKUP(orders!C265,customers!$A$2:$A$1001,customers!$B$2:$B$1001)</f>
        <v>Mar McIver</v>
      </c>
      <c r="G265" s="2" t="str">
        <f>IF(_xlfn.XLOOKUP(C265,customers!$A$2:$A$1001,customers!$C$2:$C$1001,,)=0,"",_xlfn.XLOOKUP(C265,customers!$A$2:$A$1001,customers!$C$2:$C$1001,,))</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cm="1">
        <f t="array" ref="N265">_xlfn.IFS(I265="Rob","Robusta",I265="Exc","Excelsa",I265="Ara","Arabica",I265="Lib","Liberica")</f>
        <v>Liberica</v>
      </c>
      <c r="O265" t="str" cm="1">
        <f t="array" ref="O265">_xlfn.IFS(J265="M","Medium",J265="L","Light",J265="D","Dark")</f>
        <v>Medium</v>
      </c>
      <c r="P265" t="str">
        <f>_xlfn.XLOOKUP(Orders[[#This Row],[Customer ID]],customers!$A$1:$A$1001,customers!$I$1:$I$1001,,0)</f>
        <v>No</v>
      </c>
    </row>
    <row r="266" spans="1:16" x14ac:dyDescent="0.25">
      <c r="A266" s="2" t="s">
        <v>1980</v>
      </c>
      <c r="B266" s="3">
        <v>44683</v>
      </c>
      <c r="C266" s="2" t="s">
        <v>1981</v>
      </c>
      <c r="D266" t="s">
        <v>6179</v>
      </c>
      <c r="E266" s="2">
        <v>5</v>
      </c>
      <c r="F266" s="2" t="str">
        <f>_xlfn.XLOOKUP(orders!C266,customers!$A$2:$A$1001,customers!$B$2:$B$1001)</f>
        <v>Arabella Fransewich</v>
      </c>
      <c r="G266" s="2" t="str">
        <f>IF(_xlfn.XLOOKUP(C266,customers!$A$2:$A$1001,customers!$C$2:$C$1001,,)=0,"",_xlfn.XLOOKUP(C266,customers!$A$2:$A$1001,customers!$C$2:$C$1001,,))</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cm="1">
        <f t="array" ref="N266">_xlfn.IFS(I266="Rob","Robusta",I266="Exc","Excelsa",I266="Ara","Arabica",I266="Lib","Liberica")</f>
        <v>Robusta</v>
      </c>
      <c r="O266" t="str" cm="1">
        <f t="array" ref="O266">_xlfn.IFS(J266="M","Medium",J266="L","Light",J266="D","Dark")</f>
        <v>Light</v>
      </c>
      <c r="P266" t="str">
        <f>_xlfn.XLOOKUP(Orders[[#This Row],[Customer ID]],customers!$A$1:$A$1001,customers!$I$1:$I$1001,,0)</f>
        <v>Yes</v>
      </c>
    </row>
    <row r="267" spans="1:16" x14ac:dyDescent="0.25">
      <c r="A267" s="2" t="s">
        <v>1986</v>
      </c>
      <c r="B267" s="3">
        <v>43872</v>
      </c>
      <c r="C267" s="2" t="s">
        <v>1987</v>
      </c>
      <c r="D267" t="s">
        <v>6158</v>
      </c>
      <c r="E267" s="2">
        <v>1</v>
      </c>
      <c r="F267" s="2" t="str">
        <f>_xlfn.XLOOKUP(orders!C267,customers!$A$2:$A$1001,customers!$B$2:$B$1001)</f>
        <v>Violette Hellmore</v>
      </c>
      <c r="G267" s="2" t="str">
        <f>IF(_xlfn.XLOOKUP(C267,customers!$A$2:$A$1001,customers!$C$2:$C$1001,,)=0,"",_xlfn.XLOOKUP(C267,customers!$A$2:$A$1001,customers!$C$2:$C$1001,,))</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cm="1">
        <f t="array" ref="N267">_xlfn.IFS(I267="Rob","Robusta",I267="Exc","Excelsa",I267="Ara","Arabica",I267="Lib","Liberica")</f>
        <v>Arabica</v>
      </c>
      <c r="O267" t="str" cm="1">
        <f t="array" ref="O267">_xlfn.IFS(J267="M","Medium",J267="L","Light",J267="D","Dark")</f>
        <v>Dark</v>
      </c>
      <c r="P267" t="str">
        <f>_xlfn.XLOOKUP(Orders[[#This Row],[Customer ID]],customers!$A$1:$A$1001,customers!$I$1:$I$1001,,0)</f>
        <v>Yes</v>
      </c>
    </row>
    <row r="268" spans="1:16" x14ac:dyDescent="0.25">
      <c r="A268" s="2" t="s">
        <v>1992</v>
      </c>
      <c r="B268" s="3">
        <v>44283</v>
      </c>
      <c r="C268" s="2" t="s">
        <v>1993</v>
      </c>
      <c r="D268" t="s">
        <v>6183</v>
      </c>
      <c r="E268" s="2">
        <v>2</v>
      </c>
      <c r="F268" s="2" t="str">
        <f>_xlfn.XLOOKUP(orders!C268,customers!$A$2:$A$1001,customers!$B$2:$B$1001)</f>
        <v>Myles Seawright</v>
      </c>
      <c r="G268" s="2" t="str">
        <f>IF(_xlfn.XLOOKUP(C268,customers!$A$2:$A$1001,customers!$C$2:$C$1001,,)=0,"",_xlfn.XLOOKUP(C268,customers!$A$2:$A$1001,customers!$C$2:$C$1001,,))</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cm="1">
        <f t="array" ref="N268">_xlfn.IFS(I268="Rob","Robusta",I268="Exc","Excelsa",I268="Ara","Arabica",I268="Lib","Liberica")</f>
        <v>Excelsa</v>
      </c>
      <c r="O268" t="str" cm="1">
        <f t="array" ref="O268">_xlfn.IFS(J268="M","Medium",J268="L","Light",J268="D","Dark")</f>
        <v>Dark</v>
      </c>
      <c r="P268" t="str">
        <f>_xlfn.XLOOKUP(Orders[[#This Row],[Customer ID]],customers!$A$1:$A$1001,customers!$I$1:$I$1001,,0)</f>
        <v>No</v>
      </c>
    </row>
    <row r="269" spans="1:16" x14ac:dyDescent="0.25">
      <c r="A269" s="2" t="s">
        <v>1998</v>
      </c>
      <c r="B269" s="3">
        <v>44324</v>
      </c>
      <c r="C269" s="2" t="s">
        <v>1999</v>
      </c>
      <c r="D269" t="s">
        <v>6153</v>
      </c>
      <c r="E269" s="2">
        <v>6</v>
      </c>
      <c r="F269" s="2" t="str">
        <f>_xlfn.XLOOKUP(orders!C269,customers!$A$2:$A$1001,customers!$B$2:$B$1001)</f>
        <v>Silvana Northeast</v>
      </c>
      <c r="G269" s="2" t="str">
        <f>IF(_xlfn.XLOOKUP(C269,customers!$A$2:$A$1001,customers!$C$2:$C$1001,,)=0,"",_xlfn.XLOOKUP(C269,customers!$A$2:$A$1001,customers!$C$2:$C$1001,,))</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cm="1">
        <f t="array" ref="N269">_xlfn.IFS(I269="Rob","Robusta",I269="Exc","Excelsa",I269="Ara","Arabica",I269="Lib","Liberica")</f>
        <v>Excelsa</v>
      </c>
      <c r="O269" t="str" cm="1">
        <f t="array" ref="O269">_xlfn.IFS(J269="M","Medium",J269="L","Light",J269="D","Dark")</f>
        <v>Dark</v>
      </c>
      <c r="P269" t="str">
        <f>_xlfn.XLOOKUP(Orders[[#This Row],[Customer ID]],customers!$A$1:$A$1001,customers!$I$1:$I$1001,,0)</f>
        <v>Yes</v>
      </c>
    </row>
    <row r="270" spans="1:16" x14ac:dyDescent="0.25">
      <c r="A270" s="2" t="s">
        <v>2004</v>
      </c>
      <c r="B270" s="3">
        <v>43790</v>
      </c>
      <c r="C270" s="2" t="s">
        <v>1672</v>
      </c>
      <c r="D270" t="s">
        <v>6147</v>
      </c>
      <c r="E270" s="2">
        <v>2</v>
      </c>
      <c r="F270" s="2" t="str">
        <f>_xlfn.XLOOKUP(orders!C270,customers!$A$2:$A$1001,customers!$B$2:$B$1001)</f>
        <v>Anselma Attwater</v>
      </c>
      <c r="G270" s="2" t="str">
        <f>IF(_xlfn.XLOOKUP(C270,customers!$A$2:$A$1001,customers!$C$2:$C$1001,,)=0,"",_xlfn.XLOOKUP(C270,customers!$A$2:$A$1001,customers!$C$2:$C$1001,,))</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cm="1">
        <f t="array" ref="N270">_xlfn.IFS(I270="Rob","Robusta",I270="Exc","Excelsa",I270="Ara","Arabica",I270="Lib","Liberica")</f>
        <v>Arabica</v>
      </c>
      <c r="O270" t="str" cm="1">
        <f t="array" ref="O270">_xlfn.IFS(J270="M","Medium",J270="L","Light",J270="D","Dark")</f>
        <v>Dark</v>
      </c>
      <c r="P270" t="str">
        <f>_xlfn.XLOOKUP(Orders[[#This Row],[Customer ID]],customers!$A$1:$A$1001,customers!$I$1:$I$1001,,0)</f>
        <v>Yes</v>
      </c>
    </row>
    <row r="271" spans="1:16" x14ac:dyDescent="0.25">
      <c r="A271" s="2" t="s">
        <v>2009</v>
      </c>
      <c r="B271" s="3">
        <v>44333</v>
      </c>
      <c r="C271" s="2" t="s">
        <v>2010</v>
      </c>
      <c r="D271" t="s">
        <v>6154</v>
      </c>
      <c r="E271" s="2">
        <v>2</v>
      </c>
      <c r="F271" s="2" t="str">
        <f>_xlfn.XLOOKUP(orders!C271,customers!$A$2:$A$1001,customers!$B$2:$B$1001)</f>
        <v>Monica Fearon</v>
      </c>
      <c r="G271" s="2" t="str">
        <f>IF(_xlfn.XLOOKUP(C271,customers!$A$2:$A$1001,customers!$C$2:$C$1001,,)=0,"",_xlfn.XLOOKUP(C271,customers!$A$2:$A$1001,customers!$C$2:$C$1001,,))</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cm="1">
        <f t="array" ref="N271">_xlfn.IFS(I271="Rob","Robusta",I271="Exc","Excelsa",I271="Ara","Arabica",I271="Lib","Liberica")</f>
        <v>Arabica</v>
      </c>
      <c r="O271" t="str" cm="1">
        <f t="array" ref="O271">_xlfn.IFS(J271="M","Medium",J271="L","Light",J271="D","Dark")</f>
        <v>Dark</v>
      </c>
      <c r="P271" t="str">
        <f>_xlfn.XLOOKUP(Orders[[#This Row],[Customer ID]],customers!$A$1:$A$1001,customers!$I$1:$I$1001,,0)</f>
        <v>No</v>
      </c>
    </row>
    <row r="272" spans="1:16" x14ac:dyDescent="0.25">
      <c r="A272" s="2" t="s">
        <v>2015</v>
      </c>
      <c r="B272" s="3">
        <v>43655</v>
      </c>
      <c r="C272" s="2" t="s">
        <v>2016</v>
      </c>
      <c r="D272" t="s">
        <v>6144</v>
      </c>
      <c r="E272" s="2">
        <v>1</v>
      </c>
      <c r="F272" s="2" t="str">
        <f>_xlfn.XLOOKUP(orders!C272,customers!$A$2:$A$1001,customers!$B$2:$B$1001)</f>
        <v>Barney Chisnell</v>
      </c>
      <c r="G272" s="2" t="str">
        <f>IF(_xlfn.XLOOKUP(C272,customers!$A$2:$A$1001,customers!$C$2:$C$1001,,)=0,"",_xlfn.XLOOKUP(C272,customers!$A$2:$A$1001,customers!$C$2:$C$1001,,))</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cm="1">
        <f t="array" ref="N272">_xlfn.IFS(I272="Rob","Robusta",I272="Exc","Excelsa",I272="Ara","Arabica",I272="Lib","Liberica")</f>
        <v>Excelsa</v>
      </c>
      <c r="O272" t="str" cm="1">
        <f t="array" ref="O272">_xlfn.IFS(J272="M","Medium",J272="L","Light",J272="D","Dark")</f>
        <v>Dark</v>
      </c>
      <c r="P272" t="str">
        <f>_xlfn.XLOOKUP(Orders[[#This Row],[Customer ID]],customers!$A$1:$A$1001,customers!$I$1:$I$1001,,0)</f>
        <v>Yes</v>
      </c>
    </row>
    <row r="273" spans="1:16" x14ac:dyDescent="0.25">
      <c r="A273" s="2" t="s">
        <v>2019</v>
      </c>
      <c r="B273" s="3">
        <v>43971</v>
      </c>
      <c r="C273" s="2" t="s">
        <v>2020</v>
      </c>
      <c r="D273" t="s">
        <v>6154</v>
      </c>
      <c r="E273" s="2">
        <v>4</v>
      </c>
      <c r="F273" s="2" t="str">
        <f>_xlfn.XLOOKUP(orders!C273,customers!$A$2:$A$1001,customers!$B$2:$B$1001)</f>
        <v>Jasper Sisneros</v>
      </c>
      <c r="G273" s="2" t="str">
        <f>IF(_xlfn.XLOOKUP(C273,customers!$A$2:$A$1001,customers!$C$2:$C$1001,,)=0,"",_xlfn.XLOOKUP(C273,customers!$A$2:$A$1001,customers!$C$2:$C$1001,,))</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cm="1">
        <f t="array" ref="N273">_xlfn.IFS(I273="Rob","Robusta",I273="Exc","Excelsa",I273="Ara","Arabica",I273="Lib","Liberica")</f>
        <v>Arabica</v>
      </c>
      <c r="O273" t="str" cm="1">
        <f t="array" ref="O273">_xlfn.IFS(J273="M","Medium",J273="L","Light",J273="D","Dark")</f>
        <v>Dark</v>
      </c>
      <c r="P273" t="str">
        <f>_xlfn.XLOOKUP(Orders[[#This Row],[Customer ID]],customers!$A$1:$A$1001,customers!$I$1:$I$1001,,0)</f>
        <v>Yes</v>
      </c>
    </row>
    <row r="274" spans="1:16" x14ac:dyDescent="0.25">
      <c r="A274" s="2" t="s">
        <v>2025</v>
      </c>
      <c r="B274" s="3">
        <v>44435</v>
      </c>
      <c r="C274" s="2" t="s">
        <v>2026</v>
      </c>
      <c r="D274" t="s">
        <v>6179</v>
      </c>
      <c r="E274" s="2">
        <v>6</v>
      </c>
      <c r="F274" s="2" t="str">
        <f>_xlfn.XLOOKUP(orders!C274,customers!$A$2:$A$1001,customers!$B$2:$B$1001)</f>
        <v>Zachariah Carlson</v>
      </c>
      <c r="G274" s="2" t="str">
        <f>IF(_xlfn.XLOOKUP(C274,customers!$A$2:$A$1001,customers!$C$2:$C$1001,,)=0,"",_xlfn.XLOOKUP(C274,customers!$A$2:$A$1001,customers!$C$2:$C$1001,,))</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cm="1">
        <f t="array" ref="N274">_xlfn.IFS(I274="Rob","Robusta",I274="Exc","Excelsa",I274="Ara","Arabica",I274="Lib","Liberica")</f>
        <v>Robusta</v>
      </c>
      <c r="O274" t="str" cm="1">
        <f t="array" ref="O274">_xlfn.IFS(J274="M","Medium",J274="L","Light",J274="D","Dark")</f>
        <v>Light</v>
      </c>
      <c r="P274" t="str">
        <f>_xlfn.XLOOKUP(Orders[[#This Row],[Customer ID]],customers!$A$1:$A$1001,customers!$I$1:$I$1001,,0)</f>
        <v>Yes</v>
      </c>
    </row>
    <row r="275" spans="1:16" x14ac:dyDescent="0.25">
      <c r="A275" s="2" t="s">
        <v>2032</v>
      </c>
      <c r="B275" s="3">
        <v>44681</v>
      </c>
      <c r="C275" s="2" t="s">
        <v>2033</v>
      </c>
      <c r="D275" t="s">
        <v>6167</v>
      </c>
      <c r="E275" s="2">
        <v>2</v>
      </c>
      <c r="F275" s="2" t="str">
        <f>_xlfn.XLOOKUP(orders!C275,customers!$A$2:$A$1001,customers!$B$2:$B$1001)</f>
        <v>Warner Maddox</v>
      </c>
      <c r="G275" s="2" t="str">
        <f>IF(_xlfn.XLOOKUP(C275,customers!$A$2:$A$1001,customers!$C$2:$C$1001,,)=0,"",_xlfn.XLOOKUP(C275,customers!$A$2:$A$1001,customers!$C$2:$C$1001,,))</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cm="1">
        <f t="array" ref="N275">_xlfn.IFS(I275="Rob","Robusta",I275="Exc","Excelsa",I275="Ara","Arabica",I275="Lib","Liberica")</f>
        <v>Arabica</v>
      </c>
      <c r="O275" t="str" cm="1">
        <f t="array" ref="O275">_xlfn.IFS(J275="M","Medium",J275="L","Light",J275="D","Dark")</f>
        <v>Light</v>
      </c>
      <c r="P275" t="str">
        <f>_xlfn.XLOOKUP(Orders[[#This Row],[Customer ID]],customers!$A$1:$A$1001,customers!$I$1:$I$1001,,0)</f>
        <v>No</v>
      </c>
    </row>
    <row r="276" spans="1:16" x14ac:dyDescent="0.25">
      <c r="A276" s="2" t="s">
        <v>2038</v>
      </c>
      <c r="B276" s="3">
        <v>43985</v>
      </c>
      <c r="C276" s="2" t="s">
        <v>2039</v>
      </c>
      <c r="D276" t="s">
        <v>6175</v>
      </c>
      <c r="E276" s="2">
        <v>1</v>
      </c>
      <c r="F276" s="2" t="str">
        <f>_xlfn.XLOOKUP(orders!C276,customers!$A$2:$A$1001,customers!$B$2:$B$1001)</f>
        <v>Donnie Hedlestone</v>
      </c>
      <c r="G276" s="2" t="str">
        <f>IF(_xlfn.XLOOKUP(C276,customers!$A$2:$A$1001,customers!$C$2:$C$1001,,)=0,"",_xlfn.XLOOKUP(C276,customers!$A$2:$A$1001,customers!$C$2:$C$1001,,))</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cm="1">
        <f t="array" ref="N276">_xlfn.IFS(I276="Rob","Robusta",I276="Exc","Excelsa",I276="Ara","Arabica",I276="Lib","Liberica")</f>
        <v>Arabica</v>
      </c>
      <c r="O276" t="str" cm="1">
        <f t="array" ref="O276">_xlfn.IFS(J276="M","Medium",J276="L","Light",J276="D","Dark")</f>
        <v>Medium</v>
      </c>
      <c r="P276" t="str">
        <f>_xlfn.XLOOKUP(Orders[[#This Row],[Customer ID]],customers!$A$1:$A$1001,customers!$I$1:$I$1001,,0)</f>
        <v>No</v>
      </c>
    </row>
    <row r="277" spans="1:16" x14ac:dyDescent="0.25">
      <c r="A277" s="2" t="s">
        <v>2044</v>
      </c>
      <c r="B277" s="3">
        <v>44725</v>
      </c>
      <c r="C277" s="2" t="s">
        <v>2045</v>
      </c>
      <c r="D277" t="s">
        <v>6148</v>
      </c>
      <c r="E277" s="2">
        <v>6</v>
      </c>
      <c r="F277" s="2" t="str">
        <f>_xlfn.XLOOKUP(orders!C277,customers!$A$2:$A$1001,customers!$B$2:$B$1001)</f>
        <v>Teddi Crowthe</v>
      </c>
      <c r="G277" s="2" t="str">
        <f>IF(_xlfn.XLOOKUP(C277,customers!$A$2:$A$1001,customers!$C$2:$C$1001,,)=0,"",_xlfn.XLOOKUP(C277,customers!$A$2:$A$1001,customers!$C$2:$C$1001,,))</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cm="1">
        <f t="array" ref="N277">_xlfn.IFS(I277="Rob","Robusta",I277="Exc","Excelsa",I277="Ara","Arabica",I277="Lib","Liberica")</f>
        <v>Excelsa</v>
      </c>
      <c r="O277" t="str" cm="1">
        <f t="array" ref="O277">_xlfn.IFS(J277="M","Medium",J277="L","Light",J277="D","Dark")</f>
        <v>Light</v>
      </c>
      <c r="P277" t="str">
        <f>_xlfn.XLOOKUP(Orders[[#This Row],[Customer ID]],customers!$A$1:$A$1001,customers!$I$1:$I$1001,,0)</f>
        <v>No</v>
      </c>
    </row>
    <row r="278" spans="1:16" x14ac:dyDescent="0.25">
      <c r="A278" s="2" t="s">
        <v>2050</v>
      </c>
      <c r="B278" s="3">
        <v>43992</v>
      </c>
      <c r="C278" s="2" t="s">
        <v>2051</v>
      </c>
      <c r="D278" t="s">
        <v>6142</v>
      </c>
      <c r="E278" s="2">
        <v>4</v>
      </c>
      <c r="F278" s="2" t="str">
        <f>_xlfn.XLOOKUP(orders!C278,customers!$A$2:$A$1001,customers!$B$2:$B$1001)</f>
        <v>Dorelia Bury</v>
      </c>
      <c r="G278" s="2" t="str">
        <f>IF(_xlfn.XLOOKUP(C278,customers!$A$2:$A$1001,customers!$C$2:$C$1001,,)=0,"",_xlfn.XLOOKUP(C278,customers!$A$2:$A$1001,customers!$C$2:$C$1001,,))</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cm="1">
        <f t="array" ref="N278">_xlfn.IFS(I278="Rob","Robusta",I278="Exc","Excelsa",I278="Ara","Arabica",I278="Lib","Liberica")</f>
        <v>Robusta</v>
      </c>
      <c r="O278" t="str" cm="1">
        <f t="array" ref="O278">_xlfn.IFS(J278="M","Medium",J278="L","Light",J278="D","Dark")</f>
        <v>Light</v>
      </c>
      <c r="P278" t="str">
        <f>_xlfn.XLOOKUP(Orders[[#This Row],[Customer ID]],customers!$A$1:$A$1001,customers!$I$1:$I$1001,,0)</f>
        <v>Yes</v>
      </c>
    </row>
    <row r="279" spans="1:16" x14ac:dyDescent="0.25">
      <c r="A279" s="2" t="s">
        <v>2056</v>
      </c>
      <c r="B279" s="3">
        <v>44183</v>
      </c>
      <c r="C279" s="2" t="s">
        <v>2057</v>
      </c>
      <c r="D279" t="s">
        <v>6171</v>
      </c>
      <c r="E279" s="2">
        <v>6</v>
      </c>
      <c r="F279" s="2" t="str">
        <f>_xlfn.XLOOKUP(orders!C279,customers!$A$2:$A$1001,customers!$B$2:$B$1001)</f>
        <v>Gussy Broadbear</v>
      </c>
      <c r="G279" s="2" t="str">
        <f>IF(_xlfn.XLOOKUP(C279,customers!$A$2:$A$1001,customers!$C$2:$C$1001,,)=0,"",_xlfn.XLOOKUP(C279,customers!$A$2:$A$1001,customers!$C$2:$C$1001,,))</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cm="1">
        <f t="array" ref="N279">_xlfn.IFS(I279="Rob","Robusta",I279="Exc","Excelsa",I279="Ara","Arabica",I279="Lib","Liberica")</f>
        <v>Excelsa</v>
      </c>
      <c r="O279" t="str" cm="1">
        <f t="array" ref="O279">_xlfn.IFS(J279="M","Medium",J279="L","Light",J279="D","Dark")</f>
        <v>Light</v>
      </c>
      <c r="P279" t="str">
        <f>_xlfn.XLOOKUP(Orders[[#This Row],[Customer ID]],customers!$A$1:$A$1001,customers!$I$1:$I$1001,,0)</f>
        <v>No</v>
      </c>
    </row>
    <row r="280" spans="1:16" x14ac:dyDescent="0.25">
      <c r="A280" s="2" t="s">
        <v>2062</v>
      </c>
      <c r="B280" s="3">
        <v>43708</v>
      </c>
      <c r="C280" s="2" t="s">
        <v>2063</v>
      </c>
      <c r="D280" t="s">
        <v>6167</v>
      </c>
      <c r="E280" s="2">
        <v>2</v>
      </c>
      <c r="F280" s="2" t="str">
        <f>_xlfn.XLOOKUP(orders!C280,customers!$A$2:$A$1001,customers!$B$2:$B$1001)</f>
        <v>Emlynne Palfrey</v>
      </c>
      <c r="G280" s="2" t="str">
        <f>IF(_xlfn.XLOOKUP(C280,customers!$A$2:$A$1001,customers!$C$2:$C$1001,,)=0,"",_xlfn.XLOOKUP(C280,customers!$A$2:$A$1001,customers!$C$2:$C$1001,,))</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cm="1">
        <f t="array" ref="N280">_xlfn.IFS(I280="Rob","Robusta",I280="Exc","Excelsa",I280="Ara","Arabica",I280="Lib","Liberica")</f>
        <v>Arabica</v>
      </c>
      <c r="O280" t="str" cm="1">
        <f t="array" ref="O280">_xlfn.IFS(J280="M","Medium",J280="L","Light",J280="D","Dark")</f>
        <v>Light</v>
      </c>
      <c r="P280" t="str">
        <f>_xlfn.XLOOKUP(Orders[[#This Row],[Customer ID]],customers!$A$1:$A$1001,customers!$I$1:$I$1001,,0)</f>
        <v>Yes</v>
      </c>
    </row>
    <row r="281" spans="1:16" x14ac:dyDescent="0.25">
      <c r="A281" s="2" t="s">
        <v>2068</v>
      </c>
      <c r="B281" s="3">
        <v>43521</v>
      </c>
      <c r="C281" s="2" t="s">
        <v>2069</v>
      </c>
      <c r="D281" t="s">
        <v>6181</v>
      </c>
      <c r="E281" s="2">
        <v>1</v>
      </c>
      <c r="F281" s="2" t="str">
        <f>_xlfn.XLOOKUP(orders!C281,customers!$A$2:$A$1001,customers!$B$2:$B$1001)</f>
        <v>Parsifal Metrick</v>
      </c>
      <c r="G281" s="2" t="str">
        <f>IF(_xlfn.XLOOKUP(C281,customers!$A$2:$A$1001,customers!$C$2:$C$1001,,)=0,"",_xlfn.XLOOKUP(C281,customers!$A$2:$A$1001,customers!$C$2:$C$1001,,))</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cm="1">
        <f t="array" ref="N281">_xlfn.IFS(I281="Rob","Robusta",I281="Exc","Excelsa",I281="Ara","Arabica",I281="Lib","Liberica")</f>
        <v>Liberica</v>
      </c>
      <c r="O281" t="str" cm="1">
        <f t="array" ref="O281">_xlfn.IFS(J281="M","Medium",J281="L","Light",J281="D","Dark")</f>
        <v>Medium</v>
      </c>
      <c r="P281" t="str">
        <f>_xlfn.XLOOKUP(Orders[[#This Row],[Customer ID]],customers!$A$1:$A$1001,customers!$I$1:$I$1001,,0)</f>
        <v>Yes</v>
      </c>
    </row>
    <row r="282" spans="1:16" x14ac:dyDescent="0.25">
      <c r="A282" s="2" t="s">
        <v>2074</v>
      </c>
      <c r="B282" s="3">
        <v>44234</v>
      </c>
      <c r="C282" s="2" t="s">
        <v>2075</v>
      </c>
      <c r="D282" t="s">
        <v>6139</v>
      </c>
      <c r="E282" s="2">
        <v>5</v>
      </c>
      <c r="F282" s="2" t="str">
        <f>_xlfn.XLOOKUP(orders!C282,customers!$A$2:$A$1001,customers!$B$2:$B$1001)</f>
        <v>Christopher Grieveson</v>
      </c>
      <c r="G282" s="2" t="str">
        <f>IF(_xlfn.XLOOKUP(C282,customers!$A$2:$A$1001,customers!$C$2:$C$1001,,)=0,"",_xlfn.XLOOKUP(C282,customers!$A$2:$A$1001,customers!$C$2:$C$1001,,))</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cm="1">
        <f t="array" ref="N282">_xlfn.IFS(I282="Rob","Robusta",I282="Exc","Excelsa",I282="Ara","Arabica",I282="Lib","Liberica")</f>
        <v>Excelsa</v>
      </c>
      <c r="O282" t="str" cm="1">
        <f t="array" ref="O282">_xlfn.IFS(J282="M","Medium",J282="L","Light",J282="D","Dark")</f>
        <v>Medium</v>
      </c>
      <c r="P282" t="str">
        <f>_xlfn.XLOOKUP(Orders[[#This Row],[Customer ID]],customers!$A$1:$A$1001,customers!$I$1:$I$1001,,0)</f>
        <v>Yes</v>
      </c>
    </row>
    <row r="283" spans="1:16" x14ac:dyDescent="0.25">
      <c r="A283" s="2" t="s">
        <v>2079</v>
      </c>
      <c r="B283" s="3">
        <v>44210</v>
      </c>
      <c r="C283" s="2" t="s">
        <v>2080</v>
      </c>
      <c r="D283" t="s">
        <v>6171</v>
      </c>
      <c r="E283" s="2">
        <v>4</v>
      </c>
      <c r="F283" s="2" t="str">
        <f>_xlfn.XLOOKUP(orders!C283,customers!$A$2:$A$1001,customers!$B$2:$B$1001)</f>
        <v>Karlan Karby</v>
      </c>
      <c r="G283" s="2" t="str">
        <f>IF(_xlfn.XLOOKUP(C283,customers!$A$2:$A$1001,customers!$C$2:$C$1001,,)=0,"",_xlfn.XLOOKUP(C283,customers!$A$2:$A$1001,customers!$C$2:$C$1001,,))</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cm="1">
        <f t="array" ref="N283">_xlfn.IFS(I283="Rob","Robusta",I283="Exc","Excelsa",I283="Ara","Arabica",I283="Lib","Liberica")</f>
        <v>Excelsa</v>
      </c>
      <c r="O283" t="str" cm="1">
        <f t="array" ref="O283">_xlfn.IFS(J283="M","Medium",J283="L","Light",J283="D","Dark")</f>
        <v>Light</v>
      </c>
      <c r="P283" t="str">
        <f>_xlfn.XLOOKUP(Orders[[#This Row],[Customer ID]],customers!$A$1:$A$1001,customers!$I$1:$I$1001,,0)</f>
        <v>Yes</v>
      </c>
    </row>
    <row r="284" spans="1:16" x14ac:dyDescent="0.25">
      <c r="A284" s="2" t="s">
        <v>2085</v>
      </c>
      <c r="B284" s="3">
        <v>43520</v>
      </c>
      <c r="C284" s="2" t="s">
        <v>2086</v>
      </c>
      <c r="D284" t="s">
        <v>6180</v>
      </c>
      <c r="E284" s="2">
        <v>1</v>
      </c>
      <c r="F284" s="2" t="str">
        <f>_xlfn.XLOOKUP(orders!C284,customers!$A$2:$A$1001,customers!$B$2:$B$1001)</f>
        <v>Flory Crumpe</v>
      </c>
      <c r="G284" s="2" t="str">
        <f>IF(_xlfn.XLOOKUP(C284,customers!$A$2:$A$1001,customers!$C$2:$C$1001,,)=0,"",_xlfn.XLOOKUP(C284,customers!$A$2:$A$1001,customers!$C$2:$C$1001,,))</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cm="1">
        <f t="array" ref="N284">_xlfn.IFS(I284="Rob","Robusta",I284="Exc","Excelsa",I284="Ara","Arabica",I284="Lib","Liberica")</f>
        <v>Arabica</v>
      </c>
      <c r="O284" t="str" cm="1">
        <f t="array" ref="O284">_xlfn.IFS(J284="M","Medium",J284="L","Light",J284="D","Dark")</f>
        <v>Light</v>
      </c>
      <c r="P284" t="str">
        <f>_xlfn.XLOOKUP(Orders[[#This Row],[Customer ID]],customers!$A$1:$A$1001,customers!$I$1:$I$1001,,0)</f>
        <v>No</v>
      </c>
    </row>
    <row r="285" spans="1:16" x14ac:dyDescent="0.25">
      <c r="A285" s="2" t="s">
        <v>2091</v>
      </c>
      <c r="B285" s="3">
        <v>43639</v>
      </c>
      <c r="C285" s="2" t="s">
        <v>2092</v>
      </c>
      <c r="D285" t="s">
        <v>6172</v>
      </c>
      <c r="E285" s="2">
        <v>1</v>
      </c>
      <c r="F285" s="2" t="str">
        <f>_xlfn.XLOOKUP(orders!C285,customers!$A$2:$A$1001,customers!$B$2:$B$1001)</f>
        <v>Amity Chatto</v>
      </c>
      <c r="G285" s="2" t="str">
        <f>IF(_xlfn.XLOOKUP(C285,customers!$A$2:$A$1001,customers!$C$2:$C$1001,,)=0,"",_xlfn.XLOOKUP(C285,customers!$A$2:$A$1001,customers!$C$2:$C$1001,,))</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cm="1">
        <f t="array" ref="N285">_xlfn.IFS(I285="Rob","Robusta",I285="Exc","Excelsa",I285="Ara","Arabica",I285="Lib","Liberica")</f>
        <v>Robusta</v>
      </c>
      <c r="O285" t="str" cm="1">
        <f t="array" ref="O285">_xlfn.IFS(J285="M","Medium",J285="L","Light",J285="D","Dark")</f>
        <v>Dark</v>
      </c>
      <c r="P285" t="str">
        <f>_xlfn.XLOOKUP(Orders[[#This Row],[Customer ID]],customers!$A$1:$A$1001,customers!$I$1:$I$1001,,0)</f>
        <v>Yes</v>
      </c>
    </row>
    <row r="286" spans="1:16" x14ac:dyDescent="0.25">
      <c r="A286" s="2" t="s">
        <v>2097</v>
      </c>
      <c r="B286" s="3">
        <v>43960</v>
      </c>
      <c r="C286" s="2" t="s">
        <v>2098</v>
      </c>
      <c r="D286" t="s">
        <v>6166</v>
      </c>
      <c r="E286" s="2">
        <v>3</v>
      </c>
      <c r="F286" s="2" t="str">
        <f>_xlfn.XLOOKUP(orders!C286,customers!$A$2:$A$1001,customers!$B$2:$B$1001)</f>
        <v>Nanine McCarthy</v>
      </c>
      <c r="G286" s="2" t="str">
        <f>IF(_xlfn.XLOOKUP(C286,customers!$A$2:$A$1001,customers!$C$2:$C$1001,,)=0,"",_xlfn.XLOOKUP(C286,customers!$A$2:$A$1001,customers!$C$2:$C$1001,,))</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cm="1">
        <f t="array" ref="N286">_xlfn.IFS(I286="Rob","Robusta",I286="Exc","Excelsa",I286="Ara","Arabica",I286="Lib","Liberica")</f>
        <v>Excelsa</v>
      </c>
      <c r="O286" t="str" cm="1">
        <f t="array" ref="O286">_xlfn.IFS(J286="M","Medium",J286="L","Light",J286="D","Dark")</f>
        <v>Medium</v>
      </c>
      <c r="P286" t="str">
        <f>_xlfn.XLOOKUP(Orders[[#This Row],[Customer ID]],customers!$A$1:$A$1001,customers!$I$1:$I$1001,,0)</f>
        <v>No</v>
      </c>
    </row>
    <row r="287" spans="1:16" x14ac:dyDescent="0.25">
      <c r="A287" s="2" t="s">
        <v>2102</v>
      </c>
      <c r="B287" s="3">
        <v>44030</v>
      </c>
      <c r="C287" s="2" t="s">
        <v>2103</v>
      </c>
      <c r="D287" t="s">
        <v>6164</v>
      </c>
      <c r="E287" s="2">
        <v>1</v>
      </c>
      <c r="F287" s="2" t="str">
        <f>_xlfn.XLOOKUP(orders!C287,customers!$A$2:$A$1001,customers!$B$2:$B$1001)</f>
        <v>Lyndsey Megany</v>
      </c>
      <c r="G287" s="2" t="str">
        <f>IF(_xlfn.XLOOKUP(C287,customers!$A$2:$A$1001,customers!$C$2:$C$1001,,)=0,"",_xlfn.XLOOKUP(C287,customers!$A$2:$A$1001,customers!$C$2:$C$1001,,))</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cm="1">
        <f t="array" ref="N287">_xlfn.IFS(I287="Rob","Robusta",I287="Exc","Excelsa",I287="Ara","Arabica",I287="Lib","Liberica")</f>
        <v>Liberica</v>
      </c>
      <c r="O287" t="str" cm="1">
        <f t="array" ref="O287">_xlfn.IFS(J287="M","Medium",J287="L","Light",J287="D","Dark")</f>
        <v>Light</v>
      </c>
      <c r="P287" t="str">
        <f>_xlfn.XLOOKUP(Orders[[#This Row],[Customer ID]],customers!$A$1:$A$1001,customers!$I$1:$I$1001,,0)</f>
        <v>No</v>
      </c>
    </row>
    <row r="288" spans="1:16" x14ac:dyDescent="0.25">
      <c r="A288" s="2" t="s">
        <v>2107</v>
      </c>
      <c r="B288" s="3">
        <v>43755</v>
      </c>
      <c r="C288" s="2" t="s">
        <v>2108</v>
      </c>
      <c r="D288" t="s">
        <v>6152</v>
      </c>
      <c r="E288" s="2">
        <v>4</v>
      </c>
      <c r="F288" s="2" t="str">
        <f>_xlfn.XLOOKUP(orders!C288,customers!$A$2:$A$1001,customers!$B$2:$B$1001)</f>
        <v>Byram Mergue</v>
      </c>
      <c r="G288" s="2" t="str">
        <f>IF(_xlfn.XLOOKUP(C288,customers!$A$2:$A$1001,customers!$C$2:$C$1001,,)=0,"",_xlfn.XLOOKUP(C288,customers!$A$2:$A$1001,customers!$C$2:$C$1001,,))</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cm="1">
        <f t="array" ref="N288">_xlfn.IFS(I288="Rob","Robusta",I288="Exc","Excelsa",I288="Ara","Arabica",I288="Lib","Liberica")</f>
        <v>Arabica</v>
      </c>
      <c r="O288" t="str" cm="1">
        <f t="array" ref="O288">_xlfn.IFS(J288="M","Medium",J288="L","Light",J288="D","Dark")</f>
        <v>Medium</v>
      </c>
      <c r="P288" t="str">
        <f>_xlfn.XLOOKUP(Orders[[#This Row],[Customer ID]],customers!$A$1:$A$1001,customers!$I$1:$I$1001,,0)</f>
        <v>Yes</v>
      </c>
    </row>
    <row r="289" spans="1:16" x14ac:dyDescent="0.25">
      <c r="A289" s="2" t="s">
        <v>2112</v>
      </c>
      <c r="B289" s="3">
        <v>44697</v>
      </c>
      <c r="C289" s="2" t="s">
        <v>2113</v>
      </c>
      <c r="D289" t="s">
        <v>6178</v>
      </c>
      <c r="E289" s="2">
        <v>4</v>
      </c>
      <c r="F289" s="2" t="str">
        <f>_xlfn.XLOOKUP(orders!C289,customers!$A$2:$A$1001,customers!$B$2:$B$1001)</f>
        <v>Kerr Patise</v>
      </c>
      <c r="G289" s="2" t="str">
        <f>IF(_xlfn.XLOOKUP(C289,customers!$A$2:$A$1001,customers!$C$2:$C$1001,,)=0,"",_xlfn.XLOOKUP(C289,customers!$A$2:$A$1001,customers!$C$2:$C$1001,,))</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cm="1">
        <f t="array" ref="N289">_xlfn.IFS(I289="Rob","Robusta",I289="Exc","Excelsa",I289="Ara","Arabica",I289="Lib","Liberica")</f>
        <v>Robusta</v>
      </c>
      <c r="O289" t="str" cm="1">
        <f t="array" ref="O289">_xlfn.IFS(J289="M","Medium",J289="L","Light",J289="D","Dark")</f>
        <v>Light</v>
      </c>
      <c r="P289" t="str">
        <f>_xlfn.XLOOKUP(Orders[[#This Row],[Customer ID]],customers!$A$1:$A$1001,customers!$I$1:$I$1001,,0)</f>
        <v>No</v>
      </c>
    </row>
    <row r="290" spans="1:16" x14ac:dyDescent="0.25">
      <c r="A290" s="2" t="s">
        <v>2118</v>
      </c>
      <c r="B290" s="3">
        <v>44279</v>
      </c>
      <c r="C290" s="2" t="s">
        <v>2119</v>
      </c>
      <c r="D290" t="s">
        <v>6139</v>
      </c>
      <c r="E290" s="2">
        <v>1</v>
      </c>
      <c r="F290" s="2" t="str">
        <f>_xlfn.XLOOKUP(orders!C290,customers!$A$2:$A$1001,customers!$B$2:$B$1001)</f>
        <v>Mathew Goulter</v>
      </c>
      <c r="G290" s="2" t="str">
        <f>IF(_xlfn.XLOOKUP(C290,customers!$A$2:$A$1001,customers!$C$2:$C$1001,,)=0,"",_xlfn.XLOOKUP(C290,customers!$A$2:$A$1001,customers!$C$2:$C$1001,,))</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cm="1">
        <f t="array" ref="N290">_xlfn.IFS(I290="Rob","Robusta",I290="Exc","Excelsa",I290="Ara","Arabica",I290="Lib","Liberica")</f>
        <v>Excelsa</v>
      </c>
      <c r="O290" t="str" cm="1">
        <f t="array" ref="O290">_xlfn.IFS(J290="M","Medium",J290="L","Light",J290="D","Dark")</f>
        <v>Medium</v>
      </c>
      <c r="P290" t="str">
        <f>_xlfn.XLOOKUP(Orders[[#This Row],[Customer ID]],customers!$A$1:$A$1001,customers!$I$1:$I$1001,,0)</f>
        <v>Yes</v>
      </c>
    </row>
    <row r="291" spans="1:16" x14ac:dyDescent="0.25">
      <c r="A291" s="2" t="s">
        <v>2123</v>
      </c>
      <c r="B291" s="3">
        <v>43772</v>
      </c>
      <c r="C291" s="2" t="s">
        <v>2124</v>
      </c>
      <c r="D291" t="s">
        <v>6163</v>
      </c>
      <c r="E291" s="2">
        <v>5</v>
      </c>
      <c r="F291" s="2" t="str">
        <f>_xlfn.XLOOKUP(orders!C291,customers!$A$2:$A$1001,customers!$B$2:$B$1001)</f>
        <v>Marris Grcic</v>
      </c>
      <c r="G291" s="2" t="str">
        <f>IF(_xlfn.XLOOKUP(C291,customers!$A$2:$A$1001,customers!$C$2:$C$1001,,)=0,"",_xlfn.XLOOKUP(C291,customers!$A$2:$A$1001,customers!$C$2:$C$1001,,))</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cm="1">
        <f t="array" ref="N291">_xlfn.IFS(I291="Rob","Robusta",I291="Exc","Excelsa",I291="Ara","Arabica",I291="Lib","Liberica")</f>
        <v>Robusta</v>
      </c>
      <c r="O291" t="str" cm="1">
        <f t="array" ref="O291">_xlfn.IFS(J291="M","Medium",J291="L","Light",J291="D","Dark")</f>
        <v>Dark</v>
      </c>
      <c r="P291" t="str">
        <f>_xlfn.XLOOKUP(Orders[[#This Row],[Customer ID]],customers!$A$1:$A$1001,customers!$I$1:$I$1001,,0)</f>
        <v>Yes</v>
      </c>
    </row>
    <row r="292" spans="1:16" x14ac:dyDescent="0.25">
      <c r="A292" s="2" t="s">
        <v>2127</v>
      </c>
      <c r="B292" s="3">
        <v>44497</v>
      </c>
      <c r="C292" s="2" t="s">
        <v>2128</v>
      </c>
      <c r="D292" t="s">
        <v>6147</v>
      </c>
      <c r="E292" s="2">
        <v>5</v>
      </c>
      <c r="F292" s="2" t="str">
        <f>_xlfn.XLOOKUP(orders!C292,customers!$A$2:$A$1001,customers!$B$2:$B$1001)</f>
        <v>Domeniga Duke</v>
      </c>
      <c r="G292" s="2" t="str">
        <f>IF(_xlfn.XLOOKUP(C292,customers!$A$2:$A$1001,customers!$C$2:$C$1001,,)=0,"",_xlfn.XLOOKUP(C292,customers!$A$2:$A$1001,customers!$C$2:$C$1001,,))</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cm="1">
        <f t="array" ref="N292">_xlfn.IFS(I292="Rob","Robusta",I292="Exc","Excelsa",I292="Ara","Arabica",I292="Lib","Liberica")</f>
        <v>Arabica</v>
      </c>
      <c r="O292" t="str" cm="1">
        <f t="array" ref="O292">_xlfn.IFS(J292="M","Medium",J292="L","Light",J292="D","Dark")</f>
        <v>Dark</v>
      </c>
      <c r="P292" t="str">
        <f>_xlfn.XLOOKUP(Orders[[#This Row],[Customer ID]],customers!$A$1:$A$1001,customers!$I$1:$I$1001,,0)</f>
        <v>No</v>
      </c>
    </row>
    <row r="293" spans="1:16" x14ac:dyDescent="0.25">
      <c r="A293" s="2" t="s">
        <v>2133</v>
      </c>
      <c r="B293" s="3">
        <v>44181</v>
      </c>
      <c r="C293" s="2" t="s">
        <v>2134</v>
      </c>
      <c r="D293" t="s">
        <v>6139</v>
      </c>
      <c r="E293" s="2">
        <v>2</v>
      </c>
      <c r="F293" s="2" t="str">
        <f>_xlfn.XLOOKUP(orders!C293,customers!$A$2:$A$1001,customers!$B$2:$B$1001)</f>
        <v>Violante Skouling</v>
      </c>
      <c r="G293" s="2" t="str">
        <f>IF(_xlfn.XLOOKUP(C293,customers!$A$2:$A$1001,customers!$C$2:$C$1001,,)=0,"",_xlfn.XLOOKUP(C293,customers!$A$2:$A$1001,customers!$C$2:$C$1001,,))</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cm="1">
        <f t="array" ref="N293">_xlfn.IFS(I293="Rob","Robusta",I293="Exc","Excelsa",I293="Ara","Arabica",I293="Lib","Liberica")</f>
        <v>Excelsa</v>
      </c>
      <c r="O293" t="str" cm="1">
        <f t="array" ref="O293">_xlfn.IFS(J293="M","Medium",J293="L","Light",J293="D","Dark")</f>
        <v>Medium</v>
      </c>
      <c r="P293" t="str">
        <f>_xlfn.XLOOKUP(Orders[[#This Row],[Customer ID]],customers!$A$1:$A$1001,customers!$I$1:$I$1001,,0)</f>
        <v>No</v>
      </c>
    </row>
    <row r="294" spans="1:16" x14ac:dyDescent="0.25">
      <c r="A294" s="2" t="s">
        <v>2137</v>
      </c>
      <c r="B294" s="3">
        <v>44529</v>
      </c>
      <c r="C294" s="2" t="s">
        <v>2138</v>
      </c>
      <c r="D294" t="s">
        <v>6158</v>
      </c>
      <c r="E294" s="2">
        <v>3</v>
      </c>
      <c r="F294" s="2" t="str">
        <f>_xlfn.XLOOKUP(orders!C294,customers!$A$2:$A$1001,customers!$B$2:$B$1001)</f>
        <v>Isidore Hussey</v>
      </c>
      <c r="G294" s="2" t="str">
        <f>IF(_xlfn.XLOOKUP(C294,customers!$A$2:$A$1001,customers!$C$2:$C$1001,,)=0,"",_xlfn.XLOOKUP(C294,customers!$A$2:$A$1001,customers!$C$2:$C$1001,,))</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cm="1">
        <f t="array" ref="N294">_xlfn.IFS(I294="Rob","Robusta",I294="Exc","Excelsa",I294="Ara","Arabica",I294="Lib","Liberica")</f>
        <v>Arabica</v>
      </c>
      <c r="O294" t="str" cm="1">
        <f t="array" ref="O294">_xlfn.IFS(J294="M","Medium",J294="L","Light",J294="D","Dark")</f>
        <v>Dark</v>
      </c>
      <c r="P294" t="str">
        <f>_xlfn.XLOOKUP(Orders[[#This Row],[Customer ID]],customers!$A$1:$A$1001,customers!$I$1:$I$1001,,0)</f>
        <v>No</v>
      </c>
    </row>
    <row r="295" spans="1:16" x14ac:dyDescent="0.25">
      <c r="A295" s="2" t="s">
        <v>2142</v>
      </c>
      <c r="B295" s="3">
        <v>44275</v>
      </c>
      <c r="C295" s="2" t="s">
        <v>2143</v>
      </c>
      <c r="D295" t="s">
        <v>6158</v>
      </c>
      <c r="E295" s="2">
        <v>5</v>
      </c>
      <c r="F295" s="2" t="str">
        <f>_xlfn.XLOOKUP(orders!C295,customers!$A$2:$A$1001,customers!$B$2:$B$1001)</f>
        <v>Cassie Pinkerton</v>
      </c>
      <c r="G295" s="2" t="str">
        <f>IF(_xlfn.XLOOKUP(C295,customers!$A$2:$A$1001,customers!$C$2:$C$1001,,)=0,"",_xlfn.XLOOKUP(C295,customers!$A$2:$A$1001,customers!$C$2:$C$1001,,))</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cm="1">
        <f t="array" ref="N295">_xlfn.IFS(I295="Rob","Robusta",I295="Exc","Excelsa",I295="Ara","Arabica",I295="Lib","Liberica")</f>
        <v>Arabica</v>
      </c>
      <c r="O295" t="str" cm="1">
        <f t="array" ref="O295">_xlfn.IFS(J295="M","Medium",J295="L","Light",J295="D","Dark")</f>
        <v>Dark</v>
      </c>
      <c r="P295" t="str">
        <f>_xlfn.XLOOKUP(Orders[[#This Row],[Customer ID]],customers!$A$1:$A$1001,customers!$I$1:$I$1001,,0)</f>
        <v>No</v>
      </c>
    </row>
    <row r="296" spans="1:16" x14ac:dyDescent="0.25">
      <c r="A296" s="2" t="s">
        <v>2148</v>
      </c>
      <c r="B296" s="3">
        <v>44659</v>
      </c>
      <c r="C296" s="2" t="s">
        <v>2149</v>
      </c>
      <c r="D296" t="s">
        <v>6171</v>
      </c>
      <c r="E296" s="2">
        <v>3</v>
      </c>
      <c r="F296" s="2" t="str">
        <f>_xlfn.XLOOKUP(orders!C296,customers!$A$2:$A$1001,customers!$B$2:$B$1001)</f>
        <v>Micki Fero</v>
      </c>
      <c r="G296" s="2" t="str">
        <f>IF(_xlfn.XLOOKUP(C296,customers!$A$2:$A$1001,customers!$C$2:$C$1001,,)=0,"",_xlfn.XLOOKUP(C296,customers!$A$2:$A$1001,customers!$C$2:$C$1001,,))</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cm="1">
        <f t="array" ref="N296">_xlfn.IFS(I296="Rob","Robusta",I296="Exc","Excelsa",I296="Ara","Arabica",I296="Lib","Liberica")</f>
        <v>Excelsa</v>
      </c>
      <c r="O296" t="str" cm="1">
        <f t="array" ref="O296">_xlfn.IFS(J296="M","Medium",J296="L","Light",J296="D","Dark")</f>
        <v>Light</v>
      </c>
      <c r="P296" t="str">
        <f>_xlfn.XLOOKUP(Orders[[#This Row],[Customer ID]],customers!$A$1:$A$1001,customers!$I$1:$I$1001,,0)</f>
        <v>No</v>
      </c>
    </row>
    <row r="297" spans="1:16" x14ac:dyDescent="0.25">
      <c r="A297" s="2" t="s">
        <v>2153</v>
      </c>
      <c r="B297" s="3">
        <v>44057</v>
      </c>
      <c r="C297" s="2" t="s">
        <v>2154</v>
      </c>
      <c r="D297" t="s">
        <v>6141</v>
      </c>
      <c r="E297" s="2">
        <v>2</v>
      </c>
      <c r="F297" s="2" t="str">
        <f>_xlfn.XLOOKUP(orders!C297,customers!$A$2:$A$1001,customers!$B$2:$B$1001)</f>
        <v>Cybill Graddell</v>
      </c>
      <c r="G297" s="2" t="str">
        <f>IF(_xlfn.XLOOKUP(C297,customers!$A$2:$A$1001,customers!$C$2:$C$1001,,)=0,"",_xlfn.XLOOKUP(C297,customers!$A$2:$A$1001,customers!$C$2:$C$1001,,))</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cm="1">
        <f t="array" ref="N297">_xlfn.IFS(I297="Rob","Robusta",I297="Exc","Excelsa",I297="Ara","Arabica",I297="Lib","Liberica")</f>
        <v>Excelsa</v>
      </c>
      <c r="O297" t="str" cm="1">
        <f t="array" ref="O297">_xlfn.IFS(J297="M","Medium",J297="L","Light",J297="D","Dark")</f>
        <v>Medium</v>
      </c>
      <c r="P297" t="str">
        <f>_xlfn.XLOOKUP(Orders[[#This Row],[Customer ID]],customers!$A$1:$A$1001,customers!$I$1:$I$1001,,0)</f>
        <v>No</v>
      </c>
    </row>
    <row r="298" spans="1:16" x14ac:dyDescent="0.25">
      <c r="A298" s="2" t="s">
        <v>2157</v>
      </c>
      <c r="B298" s="3">
        <v>43597</v>
      </c>
      <c r="C298" s="2" t="s">
        <v>2158</v>
      </c>
      <c r="D298" t="s">
        <v>6146</v>
      </c>
      <c r="E298" s="2">
        <v>6</v>
      </c>
      <c r="F298" s="2" t="str">
        <f>_xlfn.XLOOKUP(orders!C298,customers!$A$2:$A$1001,customers!$B$2:$B$1001)</f>
        <v>Dorian Vizor</v>
      </c>
      <c r="G298" s="2" t="str">
        <f>IF(_xlfn.XLOOKUP(C298,customers!$A$2:$A$1001,customers!$C$2:$C$1001,,)=0,"",_xlfn.XLOOKUP(C298,customers!$A$2:$A$1001,customers!$C$2:$C$1001,,))</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cm="1">
        <f t="array" ref="N298">_xlfn.IFS(I298="Rob","Robusta",I298="Exc","Excelsa",I298="Ara","Arabica",I298="Lib","Liberica")</f>
        <v>Robusta</v>
      </c>
      <c r="O298" t="str" cm="1">
        <f t="array" ref="O298">_xlfn.IFS(J298="M","Medium",J298="L","Light",J298="D","Dark")</f>
        <v>Medium</v>
      </c>
      <c r="P298" t="str">
        <f>_xlfn.XLOOKUP(Orders[[#This Row],[Customer ID]],customers!$A$1:$A$1001,customers!$I$1:$I$1001,,0)</f>
        <v>Yes</v>
      </c>
    </row>
    <row r="299" spans="1:16" x14ac:dyDescent="0.25">
      <c r="A299" s="2" t="s">
        <v>2163</v>
      </c>
      <c r="B299" s="3">
        <v>44258</v>
      </c>
      <c r="C299" s="2" t="s">
        <v>2164</v>
      </c>
      <c r="D299" t="s">
        <v>6172</v>
      </c>
      <c r="E299" s="2">
        <v>3</v>
      </c>
      <c r="F299" s="2" t="str">
        <f>_xlfn.XLOOKUP(orders!C299,customers!$A$2:$A$1001,customers!$B$2:$B$1001)</f>
        <v>Eddi Sedgebeer</v>
      </c>
      <c r="G299" s="2" t="str">
        <f>IF(_xlfn.XLOOKUP(C299,customers!$A$2:$A$1001,customers!$C$2:$C$1001,,)=0,"",_xlfn.XLOOKUP(C299,customers!$A$2:$A$1001,customers!$C$2:$C$1001,,))</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cm="1">
        <f t="array" ref="N299">_xlfn.IFS(I299="Rob","Robusta",I299="Exc","Excelsa",I299="Ara","Arabica",I299="Lib","Liberica")</f>
        <v>Robusta</v>
      </c>
      <c r="O299" t="str" cm="1">
        <f t="array" ref="O299">_xlfn.IFS(J299="M","Medium",J299="L","Light",J299="D","Dark")</f>
        <v>Dark</v>
      </c>
      <c r="P299" t="str">
        <f>_xlfn.XLOOKUP(Orders[[#This Row],[Customer ID]],customers!$A$1:$A$1001,customers!$I$1:$I$1001,,0)</f>
        <v>Yes</v>
      </c>
    </row>
    <row r="300" spans="1:16" x14ac:dyDescent="0.25">
      <c r="A300" s="2" t="s">
        <v>2169</v>
      </c>
      <c r="B300" s="3">
        <v>43872</v>
      </c>
      <c r="C300" s="2" t="s">
        <v>2170</v>
      </c>
      <c r="D300" t="s">
        <v>6184</v>
      </c>
      <c r="E300" s="2">
        <v>6</v>
      </c>
      <c r="F300" s="2" t="str">
        <f>_xlfn.XLOOKUP(orders!C300,customers!$A$2:$A$1001,customers!$B$2:$B$1001)</f>
        <v>Ken Lestrange</v>
      </c>
      <c r="G300" s="2" t="str">
        <f>IF(_xlfn.XLOOKUP(C300,customers!$A$2:$A$1001,customers!$C$2:$C$1001,,)=0,"",_xlfn.XLOOKUP(C300,customers!$A$2:$A$1001,customers!$C$2:$C$1001,,))</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cm="1">
        <f t="array" ref="N300">_xlfn.IFS(I300="Rob","Robusta",I300="Exc","Excelsa",I300="Ara","Arabica",I300="Lib","Liberica")</f>
        <v>Excelsa</v>
      </c>
      <c r="O300" t="str" cm="1">
        <f t="array" ref="O300">_xlfn.IFS(J300="M","Medium",J300="L","Light",J300="D","Dark")</f>
        <v>Light</v>
      </c>
      <c r="P300" t="str">
        <f>_xlfn.XLOOKUP(Orders[[#This Row],[Customer ID]],customers!$A$1:$A$1001,customers!$I$1:$I$1001,,0)</f>
        <v>Yes</v>
      </c>
    </row>
    <row r="301" spans="1:16" x14ac:dyDescent="0.25">
      <c r="A301" s="2" t="s">
        <v>2175</v>
      </c>
      <c r="B301" s="3">
        <v>43582</v>
      </c>
      <c r="C301" s="2" t="s">
        <v>2176</v>
      </c>
      <c r="D301" t="s">
        <v>6148</v>
      </c>
      <c r="E301" s="2">
        <v>6</v>
      </c>
      <c r="F301" s="2" t="str">
        <f>_xlfn.XLOOKUP(orders!C301,customers!$A$2:$A$1001,customers!$B$2:$B$1001)</f>
        <v>Lacee Tanti</v>
      </c>
      <c r="G301" s="2" t="str">
        <f>IF(_xlfn.XLOOKUP(C301,customers!$A$2:$A$1001,customers!$C$2:$C$1001,,)=0,"",_xlfn.XLOOKUP(C301,customers!$A$2:$A$1001,customers!$C$2:$C$1001,,))</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cm="1">
        <f t="array" ref="N301">_xlfn.IFS(I301="Rob","Robusta",I301="Exc","Excelsa",I301="Ara","Arabica",I301="Lib","Liberica")</f>
        <v>Excelsa</v>
      </c>
      <c r="O301" t="str" cm="1">
        <f t="array" ref="O301">_xlfn.IFS(J301="M","Medium",J301="L","Light",J301="D","Dark")</f>
        <v>Light</v>
      </c>
      <c r="P301" t="str">
        <f>_xlfn.XLOOKUP(Orders[[#This Row],[Customer ID]],customers!$A$1:$A$1001,customers!$I$1:$I$1001,,0)</f>
        <v>Yes</v>
      </c>
    </row>
    <row r="302" spans="1:16" x14ac:dyDescent="0.25">
      <c r="A302" s="2" t="s">
        <v>2181</v>
      </c>
      <c r="B302" s="3">
        <v>44646</v>
      </c>
      <c r="C302" s="2" t="s">
        <v>2182</v>
      </c>
      <c r="D302" t="s">
        <v>6140</v>
      </c>
      <c r="E302" s="2">
        <v>3</v>
      </c>
      <c r="F302" s="2" t="str">
        <f>_xlfn.XLOOKUP(orders!C302,customers!$A$2:$A$1001,customers!$B$2:$B$1001)</f>
        <v>Arel De Lasci</v>
      </c>
      <c r="G302" s="2" t="str">
        <f>IF(_xlfn.XLOOKUP(C302,customers!$A$2:$A$1001,customers!$C$2:$C$1001,,)=0,"",_xlfn.XLOOKUP(C302,customers!$A$2:$A$1001,customers!$C$2:$C$1001,,))</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cm="1">
        <f t="array" ref="N302">_xlfn.IFS(I302="Rob","Robusta",I302="Exc","Excelsa",I302="Ara","Arabica",I302="Lib","Liberica")</f>
        <v>Arabica</v>
      </c>
      <c r="O302" t="str" cm="1">
        <f t="array" ref="O302">_xlfn.IFS(J302="M","Medium",J302="L","Light",J302="D","Dark")</f>
        <v>Light</v>
      </c>
      <c r="P302" t="str">
        <f>_xlfn.XLOOKUP(Orders[[#This Row],[Customer ID]],customers!$A$1:$A$1001,customers!$I$1:$I$1001,,0)</f>
        <v>Yes</v>
      </c>
    </row>
    <row r="303" spans="1:16" x14ac:dyDescent="0.25">
      <c r="A303" s="2" t="s">
        <v>2187</v>
      </c>
      <c r="B303" s="3">
        <v>44102</v>
      </c>
      <c r="C303" s="2" t="s">
        <v>2188</v>
      </c>
      <c r="D303" t="s">
        <v>6150</v>
      </c>
      <c r="E303" s="2">
        <v>4</v>
      </c>
      <c r="F303" s="2" t="str">
        <f>_xlfn.XLOOKUP(orders!C303,customers!$A$2:$A$1001,customers!$B$2:$B$1001)</f>
        <v>Trescha Jedrachowicz</v>
      </c>
      <c r="G303" s="2" t="str">
        <f>IF(_xlfn.XLOOKUP(C303,customers!$A$2:$A$1001,customers!$C$2:$C$1001,,)=0,"",_xlfn.XLOOKUP(C303,customers!$A$2:$A$1001,customers!$C$2:$C$1001,,))</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cm="1">
        <f t="array" ref="N303">_xlfn.IFS(I303="Rob","Robusta",I303="Exc","Excelsa",I303="Ara","Arabica",I303="Lib","Liberica")</f>
        <v>Liberica</v>
      </c>
      <c r="O303" t="str" cm="1">
        <f t="array" ref="O303">_xlfn.IFS(J303="M","Medium",J303="L","Light",J303="D","Dark")</f>
        <v>Dark</v>
      </c>
      <c r="P303" t="str">
        <f>_xlfn.XLOOKUP(Orders[[#This Row],[Customer ID]],customers!$A$1:$A$1001,customers!$I$1:$I$1001,,0)</f>
        <v>Yes</v>
      </c>
    </row>
    <row r="304" spans="1:16" x14ac:dyDescent="0.25">
      <c r="A304" s="2" t="s">
        <v>2193</v>
      </c>
      <c r="B304" s="3">
        <v>43762</v>
      </c>
      <c r="C304" s="2" t="s">
        <v>2194</v>
      </c>
      <c r="D304" t="s">
        <v>6157</v>
      </c>
      <c r="E304" s="2">
        <v>1</v>
      </c>
      <c r="F304" s="2" t="str">
        <f>_xlfn.XLOOKUP(orders!C304,customers!$A$2:$A$1001,customers!$B$2:$B$1001)</f>
        <v>Perkin Stonner</v>
      </c>
      <c r="G304" s="2" t="str">
        <f>IF(_xlfn.XLOOKUP(C304,customers!$A$2:$A$1001,customers!$C$2:$C$1001,,)=0,"",_xlfn.XLOOKUP(C304,customers!$A$2:$A$1001,customers!$C$2:$C$1001,,))</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cm="1">
        <f t="array" ref="N304">_xlfn.IFS(I304="Rob","Robusta",I304="Exc","Excelsa",I304="Ara","Arabica",I304="Lib","Liberica")</f>
        <v>Arabica</v>
      </c>
      <c r="O304" t="str" cm="1">
        <f t="array" ref="O304">_xlfn.IFS(J304="M","Medium",J304="L","Light",J304="D","Dark")</f>
        <v>Medium</v>
      </c>
      <c r="P304" t="str">
        <f>_xlfn.XLOOKUP(Orders[[#This Row],[Customer ID]],customers!$A$1:$A$1001,customers!$I$1:$I$1001,,0)</f>
        <v>No</v>
      </c>
    </row>
    <row r="305" spans="1:16" x14ac:dyDescent="0.25">
      <c r="A305" s="2" t="s">
        <v>2199</v>
      </c>
      <c r="B305" s="3">
        <v>44412</v>
      </c>
      <c r="C305" s="2" t="s">
        <v>2200</v>
      </c>
      <c r="D305" t="s">
        <v>6185</v>
      </c>
      <c r="E305" s="2">
        <v>4</v>
      </c>
      <c r="F305" s="2" t="str">
        <f>_xlfn.XLOOKUP(orders!C305,customers!$A$2:$A$1001,customers!$B$2:$B$1001)</f>
        <v>Darrin Tingly</v>
      </c>
      <c r="G305" s="2" t="str">
        <f>IF(_xlfn.XLOOKUP(C305,customers!$A$2:$A$1001,customers!$C$2:$C$1001,,)=0,"",_xlfn.XLOOKUP(C305,customers!$A$2:$A$1001,customers!$C$2:$C$1001,,))</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cm="1">
        <f t="array" ref="N305">_xlfn.IFS(I305="Rob","Robusta",I305="Exc","Excelsa",I305="Ara","Arabica",I305="Lib","Liberica")</f>
        <v>Excelsa</v>
      </c>
      <c r="O305" t="str" cm="1">
        <f t="array" ref="O305">_xlfn.IFS(J305="M","Medium",J305="L","Light",J305="D","Dark")</f>
        <v>Dark</v>
      </c>
      <c r="P305" t="str">
        <f>_xlfn.XLOOKUP(Orders[[#This Row],[Customer ID]],customers!$A$1:$A$1001,customers!$I$1:$I$1001,,0)</f>
        <v>Yes</v>
      </c>
    </row>
    <row r="306" spans="1:16" x14ac:dyDescent="0.25">
      <c r="A306" s="2" t="s">
        <v>2204</v>
      </c>
      <c r="B306" s="3">
        <v>43828</v>
      </c>
      <c r="C306" s="2" t="s">
        <v>2245</v>
      </c>
      <c r="D306" t="s">
        <v>6167</v>
      </c>
      <c r="E306" s="2">
        <v>1</v>
      </c>
      <c r="F306" s="2" t="str">
        <f>_xlfn.XLOOKUP(orders!C306,customers!$A$2:$A$1001,customers!$B$2:$B$1001)</f>
        <v>Claudetta Rushe</v>
      </c>
      <c r="G306" s="2" t="str">
        <f>IF(_xlfn.XLOOKUP(C306,customers!$A$2:$A$1001,customers!$C$2:$C$1001,,)=0,"",_xlfn.XLOOKUP(C306,customers!$A$2:$A$1001,customers!$C$2:$C$1001,,))</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cm="1">
        <f t="array" ref="N306">_xlfn.IFS(I306="Rob","Robusta",I306="Exc","Excelsa",I306="Ara","Arabica",I306="Lib","Liberica")</f>
        <v>Arabica</v>
      </c>
      <c r="O306" t="str" cm="1">
        <f t="array" ref="O306">_xlfn.IFS(J306="M","Medium",J306="L","Light",J306="D","Dark")</f>
        <v>Light</v>
      </c>
      <c r="P306" t="str">
        <f>_xlfn.XLOOKUP(Orders[[#This Row],[Customer ID]],customers!$A$1:$A$1001,customers!$I$1:$I$1001,,0)</f>
        <v>Yes</v>
      </c>
    </row>
    <row r="307" spans="1:16" x14ac:dyDescent="0.25">
      <c r="A307" s="2" t="s">
        <v>2209</v>
      </c>
      <c r="B307" s="3">
        <v>43796</v>
      </c>
      <c r="C307" s="2" t="s">
        <v>2210</v>
      </c>
      <c r="D307" t="s">
        <v>6159</v>
      </c>
      <c r="E307" s="2">
        <v>5</v>
      </c>
      <c r="F307" s="2" t="str">
        <f>_xlfn.XLOOKUP(orders!C307,customers!$A$2:$A$1001,customers!$B$2:$B$1001)</f>
        <v>Benn Checci</v>
      </c>
      <c r="G307" s="2" t="str">
        <f>IF(_xlfn.XLOOKUP(C307,customers!$A$2:$A$1001,customers!$C$2:$C$1001,,)=0,"",_xlfn.XLOOKUP(C307,customers!$A$2:$A$1001,customers!$C$2:$C$1001,,))</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cm="1">
        <f t="array" ref="N307">_xlfn.IFS(I307="Rob","Robusta",I307="Exc","Excelsa",I307="Ara","Arabica",I307="Lib","Liberica")</f>
        <v>Liberica</v>
      </c>
      <c r="O307" t="str" cm="1">
        <f t="array" ref="O307">_xlfn.IFS(J307="M","Medium",J307="L","Light",J307="D","Dark")</f>
        <v>Medium</v>
      </c>
      <c r="P307" t="str">
        <f>_xlfn.XLOOKUP(Orders[[#This Row],[Customer ID]],customers!$A$1:$A$1001,customers!$I$1:$I$1001,,0)</f>
        <v>No</v>
      </c>
    </row>
    <row r="308" spans="1:16" x14ac:dyDescent="0.25">
      <c r="A308" s="2" t="s">
        <v>2215</v>
      </c>
      <c r="B308" s="3">
        <v>43890</v>
      </c>
      <c r="C308" s="2" t="s">
        <v>2216</v>
      </c>
      <c r="D308" t="s">
        <v>6174</v>
      </c>
      <c r="E308" s="2">
        <v>5</v>
      </c>
      <c r="F308" s="2" t="str">
        <f>_xlfn.XLOOKUP(orders!C308,customers!$A$2:$A$1001,customers!$B$2:$B$1001)</f>
        <v>Janifer Bagot</v>
      </c>
      <c r="G308" s="2" t="str">
        <f>IF(_xlfn.XLOOKUP(C308,customers!$A$2:$A$1001,customers!$C$2:$C$1001,,)=0,"",_xlfn.XLOOKUP(C308,customers!$A$2:$A$1001,customers!$C$2:$C$1001,,))</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cm="1">
        <f t="array" ref="N308">_xlfn.IFS(I308="Rob","Robusta",I308="Exc","Excelsa",I308="Ara","Arabica",I308="Lib","Liberica")</f>
        <v>Robusta</v>
      </c>
      <c r="O308" t="str" cm="1">
        <f t="array" ref="O308">_xlfn.IFS(J308="M","Medium",J308="L","Light",J308="D","Dark")</f>
        <v>Medium</v>
      </c>
      <c r="P308" t="str">
        <f>_xlfn.XLOOKUP(Orders[[#This Row],[Customer ID]],customers!$A$1:$A$1001,customers!$I$1:$I$1001,,0)</f>
        <v>No</v>
      </c>
    </row>
    <row r="309" spans="1:16" x14ac:dyDescent="0.25">
      <c r="A309" s="2" t="s">
        <v>2221</v>
      </c>
      <c r="B309" s="3">
        <v>44227</v>
      </c>
      <c r="C309" s="2" t="s">
        <v>2222</v>
      </c>
      <c r="D309" t="s">
        <v>6155</v>
      </c>
      <c r="E309" s="2">
        <v>3</v>
      </c>
      <c r="F309" s="2" t="str">
        <f>_xlfn.XLOOKUP(orders!C309,customers!$A$2:$A$1001,customers!$B$2:$B$1001)</f>
        <v>Ermin Beeble</v>
      </c>
      <c r="G309" s="2" t="str">
        <f>IF(_xlfn.XLOOKUP(C309,customers!$A$2:$A$1001,customers!$C$2:$C$1001,,)=0,"",_xlfn.XLOOKUP(C309,customers!$A$2:$A$1001,customers!$C$2:$C$1001,,))</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cm="1">
        <f t="array" ref="N309">_xlfn.IFS(I309="Rob","Robusta",I309="Exc","Excelsa",I309="Ara","Arabica",I309="Lib","Liberica")</f>
        <v>Arabica</v>
      </c>
      <c r="O309" t="str" cm="1">
        <f t="array" ref="O309">_xlfn.IFS(J309="M","Medium",J309="L","Light",J309="D","Dark")</f>
        <v>Medium</v>
      </c>
      <c r="P309" t="str">
        <f>_xlfn.XLOOKUP(Orders[[#This Row],[Customer ID]],customers!$A$1:$A$1001,customers!$I$1:$I$1001,,0)</f>
        <v>Yes</v>
      </c>
    </row>
    <row r="310" spans="1:16" x14ac:dyDescent="0.25">
      <c r="A310" s="2" t="s">
        <v>2227</v>
      </c>
      <c r="B310" s="3">
        <v>44729</v>
      </c>
      <c r="C310" s="2" t="s">
        <v>2228</v>
      </c>
      <c r="D310" t="s">
        <v>6155</v>
      </c>
      <c r="E310" s="2">
        <v>3</v>
      </c>
      <c r="F310" s="2" t="str">
        <f>_xlfn.XLOOKUP(orders!C310,customers!$A$2:$A$1001,customers!$B$2:$B$1001)</f>
        <v>Cos Fluin</v>
      </c>
      <c r="G310" s="2" t="str">
        <f>IF(_xlfn.XLOOKUP(C310,customers!$A$2:$A$1001,customers!$C$2:$C$1001,,)=0,"",_xlfn.XLOOKUP(C310,customers!$A$2:$A$1001,customers!$C$2:$C$1001,,))</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cm="1">
        <f t="array" ref="N310">_xlfn.IFS(I310="Rob","Robusta",I310="Exc","Excelsa",I310="Ara","Arabica",I310="Lib","Liberica")</f>
        <v>Arabica</v>
      </c>
      <c r="O310" t="str" cm="1">
        <f t="array" ref="O310">_xlfn.IFS(J310="M","Medium",J310="L","Light",J310="D","Dark")</f>
        <v>Medium</v>
      </c>
      <c r="P310" t="str">
        <f>_xlfn.XLOOKUP(Orders[[#This Row],[Customer ID]],customers!$A$1:$A$1001,customers!$I$1:$I$1001,,0)</f>
        <v>No</v>
      </c>
    </row>
    <row r="311" spans="1:16" x14ac:dyDescent="0.25">
      <c r="A311" s="2" t="s">
        <v>2232</v>
      </c>
      <c r="B311" s="3">
        <v>43864</v>
      </c>
      <c r="C311" s="2" t="s">
        <v>2233</v>
      </c>
      <c r="D311" t="s">
        <v>6159</v>
      </c>
      <c r="E311" s="2">
        <v>6</v>
      </c>
      <c r="F311" s="2" t="str">
        <f>_xlfn.XLOOKUP(orders!C311,customers!$A$2:$A$1001,customers!$B$2:$B$1001)</f>
        <v>Eveleen Bletsor</v>
      </c>
      <c r="G311" s="2" t="str">
        <f>IF(_xlfn.XLOOKUP(C311,customers!$A$2:$A$1001,customers!$C$2:$C$1001,,)=0,"",_xlfn.XLOOKUP(C311,customers!$A$2:$A$1001,customers!$C$2:$C$1001,,))</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cm="1">
        <f t="array" ref="N311">_xlfn.IFS(I311="Rob","Robusta",I311="Exc","Excelsa",I311="Ara","Arabica",I311="Lib","Liberica")</f>
        <v>Liberica</v>
      </c>
      <c r="O311" t="str" cm="1">
        <f t="array" ref="O311">_xlfn.IFS(J311="M","Medium",J311="L","Light",J311="D","Dark")</f>
        <v>Medium</v>
      </c>
      <c r="P311" t="str">
        <f>_xlfn.XLOOKUP(Orders[[#This Row],[Customer ID]],customers!$A$1:$A$1001,customers!$I$1:$I$1001,,0)</f>
        <v>Yes</v>
      </c>
    </row>
    <row r="312" spans="1:16" x14ac:dyDescent="0.25">
      <c r="A312" s="2" t="s">
        <v>2238</v>
      </c>
      <c r="B312" s="3">
        <v>44586</v>
      </c>
      <c r="C312" s="2" t="s">
        <v>2239</v>
      </c>
      <c r="D312" t="s">
        <v>6171</v>
      </c>
      <c r="E312" s="2">
        <v>1</v>
      </c>
      <c r="F312" s="2" t="str">
        <f>_xlfn.XLOOKUP(orders!C312,customers!$A$2:$A$1001,customers!$B$2:$B$1001)</f>
        <v>Paola Brydell</v>
      </c>
      <c r="G312" s="2" t="str">
        <f>IF(_xlfn.XLOOKUP(C312,customers!$A$2:$A$1001,customers!$C$2:$C$1001,,)=0,"",_xlfn.XLOOKUP(C312,customers!$A$2:$A$1001,customers!$C$2:$C$1001,,))</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cm="1">
        <f t="array" ref="N312">_xlfn.IFS(I312="Rob","Robusta",I312="Exc","Excelsa",I312="Ara","Arabica",I312="Lib","Liberica")</f>
        <v>Excelsa</v>
      </c>
      <c r="O312" t="str" cm="1">
        <f t="array" ref="O312">_xlfn.IFS(J312="M","Medium",J312="L","Light",J312="D","Dark")</f>
        <v>Light</v>
      </c>
      <c r="P312" t="str">
        <f>_xlfn.XLOOKUP(Orders[[#This Row],[Customer ID]],customers!$A$1:$A$1001,customers!$I$1:$I$1001,,0)</f>
        <v>No</v>
      </c>
    </row>
    <row r="313" spans="1:16" x14ac:dyDescent="0.25">
      <c r="A313" s="2" t="s">
        <v>2244</v>
      </c>
      <c r="B313" s="3">
        <v>43951</v>
      </c>
      <c r="C313" s="2" t="s">
        <v>2245</v>
      </c>
      <c r="D313" t="s">
        <v>6166</v>
      </c>
      <c r="E313" s="2">
        <v>6</v>
      </c>
      <c r="F313" s="2" t="str">
        <f>_xlfn.XLOOKUP(orders!C313,customers!$A$2:$A$1001,customers!$B$2:$B$1001)</f>
        <v>Claudetta Rushe</v>
      </c>
      <c r="G313" s="2" t="str">
        <f>IF(_xlfn.XLOOKUP(C313,customers!$A$2:$A$1001,customers!$C$2:$C$1001,,)=0,"",_xlfn.XLOOKUP(C313,customers!$A$2:$A$1001,customers!$C$2:$C$1001,,))</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cm="1">
        <f t="array" ref="N313">_xlfn.IFS(I313="Rob","Robusta",I313="Exc","Excelsa",I313="Ara","Arabica",I313="Lib","Liberica")</f>
        <v>Excelsa</v>
      </c>
      <c r="O313" t="str" cm="1">
        <f t="array" ref="O313">_xlfn.IFS(J313="M","Medium",J313="L","Light",J313="D","Dark")</f>
        <v>Medium</v>
      </c>
      <c r="P313" t="str">
        <f>_xlfn.XLOOKUP(Orders[[#This Row],[Customer ID]],customers!$A$1:$A$1001,customers!$I$1:$I$1001,,0)</f>
        <v>Yes</v>
      </c>
    </row>
    <row r="314" spans="1:16" x14ac:dyDescent="0.25">
      <c r="A314" s="2" t="s">
        <v>2250</v>
      </c>
      <c r="B314" s="3">
        <v>44317</v>
      </c>
      <c r="C314" s="2" t="s">
        <v>2251</v>
      </c>
      <c r="D314" t="s">
        <v>6146</v>
      </c>
      <c r="E314" s="2">
        <v>1</v>
      </c>
      <c r="F314" s="2" t="str">
        <f>_xlfn.XLOOKUP(orders!C314,customers!$A$2:$A$1001,customers!$B$2:$B$1001)</f>
        <v>Natka Leethem</v>
      </c>
      <c r="G314" s="2" t="str">
        <f>IF(_xlfn.XLOOKUP(C314,customers!$A$2:$A$1001,customers!$C$2:$C$1001,,)=0,"",_xlfn.XLOOKUP(C314,customers!$A$2:$A$1001,customers!$C$2:$C$1001,,))</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cm="1">
        <f t="array" ref="N314">_xlfn.IFS(I314="Rob","Robusta",I314="Exc","Excelsa",I314="Ara","Arabica",I314="Lib","Liberica")</f>
        <v>Robusta</v>
      </c>
      <c r="O314" t="str" cm="1">
        <f t="array" ref="O314">_xlfn.IFS(J314="M","Medium",J314="L","Light",J314="D","Dark")</f>
        <v>Medium</v>
      </c>
      <c r="P314" t="str">
        <f>_xlfn.XLOOKUP(Orders[[#This Row],[Customer ID]],customers!$A$1:$A$1001,customers!$I$1:$I$1001,,0)</f>
        <v>Yes</v>
      </c>
    </row>
    <row r="315" spans="1:16" x14ac:dyDescent="0.25">
      <c r="A315" s="2" t="s">
        <v>2256</v>
      </c>
      <c r="B315" s="3">
        <v>44497</v>
      </c>
      <c r="C315" s="2" t="s">
        <v>2257</v>
      </c>
      <c r="D315" t="s">
        <v>6138</v>
      </c>
      <c r="E315" s="2">
        <v>3</v>
      </c>
      <c r="F315" s="2" t="str">
        <f>_xlfn.XLOOKUP(orders!C315,customers!$A$2:$A$1001,customers!$B$2:$B$1001)</f>
        <v>Ailene Nesfield</v>
      </c>
      <c r="G315" s="2" t="str">
        <f>IF(_xlfn.XLOOKUP(C315,customers!$A$2:$A$1001,customers!$C$2:$C$1001,,)=0,"",_xlfn.XLOOKUP(C315,customers!$A$2:$A$1001,customers!$C$2:$C$1001,,))</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cm="1">
        <f t="array" ref="N315">_xlfn.IFS(I315="Rob","Robusta",I315="Exc","Excelsa",I315="Ara","Arabica",I315="Lib","Liberica")</f>
        <v>Robusta</v>
      </c>
      <c r="O315" t="str" cm="1">
        <f t="array" ref="O315">_xlfn.IFS(J315="M","Medium",J315="L","Light",J315="D","Dark")</f>
        <v>Medium</v>
      </c>
      <c r="P315" t="str">
        <f>_xlfn.XLOOKUP(Orders[[#This Row],[Customer ID]],customers!$A$1:$A$1001,customers!$I$1:$I$1001,,0)</f>
        <v>Yes</v>
      </c>
    </row>
    <row r="316" spans="1:16" x14ac:dyDescent="0.25">
      <c r="A316" s="2" t="s">
        <v>2262</v>
      </c>
      <c r="B316" s="3">
        <v>44437</v>
      </c>
      <c r="C316" s="2" t="s">
        <v>2263</v>
      </c>
      <c r="D316" t="s">
        <v>6177</v>
      </c>
      <c r="E316" s="2">
        <v>5</v>
      </c>
      <c r="F316" s="2" t="str">
        <f>_xlfn.XLOOKUP(orders!C316,customers!$A$2:$A$1001,customers!$B$2:$B$1001)</f>
        <v>Stacy Pickworth</v>
      </c>
      <c r="G316" s="2" t="str">
        <f>IF(_xlfn.XLOOKUP(C316,customers!$A$2:$A$1001,customers!$C$2:$C$1001,,)=0,"",_xlfn.XLOOKUP(C316,customers!$A$2:$A$1001,customers!$C$2:$C$1001,,))</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cm="1">
        <f t="array" ref="N316">_xlfn.IFS(I316="Rob","Robusta",I316="Exc","Excelsa",I316="Ara","Arabica",I316="Lib","Liberica")</f>
        <v>Robusta</v>
      </c>
      <c r="O316" t="str" cm="1">
        <f t="array" ref="O316">_xlfn.IFS(J316="M","Medium",J316="L","Light",J316="D","Dark")</f>
        <v>Dark</v>
      </c>
      <c r="P316" t="str">
        <f>_xlfn.XLOOKUP(Orders[[#This Row],[Customer ID]],customers!$A$1:$A$1001,customers!$I$1:$I$1001,,0)</f>
        <v>No</v>
      </c>
    </row>
    <row r="317" spans="1:16" x14ac:dyDescent="0.25">
      <c r="A317" s="2" t="s">
        <v>2267</v>
      </c>
      <c r="B317" s="3">
        <v>43826</v>
      </c>
      <c r="C317" s="2" t="s">
        <v>2268</v>
      </c>
      <c r="D317" t="s">
        <v>6148</v>
      </c>
      <c r="E317" s="2">
        <v>1</v>
      </c>
      <c r="F317" s="2" t="str">
        <f>_xlfn.XLOOKUP(orders!C317,customers!$A$2:$A$1001,customers!$B$2:$B$1001)</f>
        <v>Melli Brockway</v>
      </c>
      <c r="G317" s="2" t="str">
        <f>IF(_xlfn.XLOOKUP(C317,customers!$A$2:$A$1001,customers!$C$2:$C$1001,,)=0,"",_xlfn.XLOOKUP(C317,customers!$A$2:$A$1001,customers!$C$2:$C$1001,,))</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cm="1">
        <f t="array" ref="N317">_xlfn.IFS(I317="Rob","Robusta",I317="Exc","Excelsa",I317="Ara","Arabica",I317="Lib","Liberica")</f>
        <v>Excelsa</v>
      </c>
      <c r="O317" t="str" cm="1">
        <f t="array" ref="O317">_xlfn.IFS(J317="M","Medium",J317="L","Light",J317="D","Dark")</f>
        <v>Light</v>
      </c>
      <c r="P317" t="str">
        <f>_xlfn.XLOOKUP(Orders[[#This Row],[Customer ID]],customers!$A$1:$A$1001,customers!$I$1:$I$1001,,0)</f>
        <v>Yes</v>
      </c>
    </row>
    <row r="318" spans="1:16" x14ac:dyDescent="0.25">
      <c r="A318" s="2" t="s">
        <v>2273</v>
      </c>
      <c r="B318" s="3">
        <v>43641</v>
      </c>
      <c r="C318" s="2" t="s">
        <v>2274</v>
      </c>
      <c r="D318" t="s">
        <v>6148</v>
      </c>
      <c r="E318" s="2">
        <v>6</v>
      </c>
      <c r="F318" s="2" t="str">
        <f>_xlfn.XLOOKUP(orders!C318,customers!$A$2:$A$1001,customers!$B$2:$B$1001)</f>
        <v>Nanny Lush</v>
      </c>
      <c r="G318" s="2" t="str">
        <f>IF(_xlfn.XLOOKUP(C318,customers!$A$2:$A$1001,customers!$C$2:$C$1001,,)=0,"",_xlfn.XLOOKUP(C318,customers!$A$2:$A$1001,customers!$C$2:$C$1001,,))</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cm="1">
        <f t="array" ref="N318">_xlfn.IFS(I318="Rob","Robusta",I318="Exc","Excelsa",I318="Ara","Arabica",I318="Lib","Liberica")</f>
        <v>Excelsa</v>
      </c>
      <c r="O318" t="str" cm="1">
        <f t="array" ref="O318">_xlfn.IFS(J318="M","Medium",J318="L","Light",J318="D","Dark")</f>
        <v>Light</v>
      </c>
      <c r="P318" t="str">
        <f>_xlfn.XLOOKUP(Orders[[#This Row],[Customer ID]],customers!$A$1:$A$1001,customers!$I$1:$I$1001,,0)</f>
        <v>No</v>
      </c>
    </row>
    <row r="319" spans="1:16" x14ac:dyDescent="0.25">
      <c r="A319" s="2" t="s">
        <v>2279</v>
      </c>
      <c r="B319" s="3">
        <v>43526</v>
      </c>
      <c r="C319" s="2" t="s">
        <v>2280</v>
      </c>
      <c r="D319" t="s">
        <v>6144</v>
      </c>
      <c r="E319" s="2">
        <v>3</v>
      </c>
      <c r="F319" s="2" t="str">
        <f>_xlfn.XLOOKUP(orders!C319,customers!$A$2:$A$1001,customers!$B$2:$B$1001)</f>
        <v>Selma McMillian</v>
      </c>
      <c r="G319" s="2" t="str">
        <f>IF(_xlfn.XLOOKUP(C319,customers!$A$2:$A$1001,customers!$C$2:$C$1001,,)=0,"",_xlfn.XLOOKUP(C319,customers!$A$2:$A$1001,customers!$C$2:$C$1001,,))</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cm="1">
        <f t="array" ref="N319">_xlfn.IFS(I319="Rob","Robusta",I319="Exc","Excelsa",I319="Ara","Arabica",I319="Lib","Liberica")</f>
        <v>Excelsa</v>
      </c>
      <c r="O319" t="str" cm="1">
        <f t="array" ref="O319">_xlfn.IFS(J319="M","Medium",J319="L","Light",J319="D","Dark")</f>
        <v>Dark</v>
      </c>
      <c r="P319" t="str">
        <f>_xlfn.XLOOKUP(Orders[[#This Row],[Customer ID]],customers!$A$1:$A$1001,customers!$I$1:$I$1001,,0)</f>
        <v>No</v>
      </c>
    </row>
    <row r="320" spans="1:16" x14ac:dyDescent="0.25">
      <c r="A320" s="2" t="s">
        <v>2285</v>
      </c>
      <c r="B320" s="3">
        <v>44563</v>
      </c>
      <c r="C320" s="2" t="s">
        <v>2286</v>
      </c>
      <c r="D320" t="s">
        <v>6175</v>
      </c>
      <c r="E320" s="2">
        <v>2</v>
      </c>
      <c r="F320" s="2" t="str">
        <f>_xlfn.XLOOKUP(orders!C320,customers!$A$2:$A$1001,customers!$B$2:$B$1001)</f>
        <v>Tess Bennison</v>
      </c>
      <c r="G320" s="2" t="str">
        <f>IF(_xlfn.XLOOKUP(C320,customers!$A$2:$A$1001,customers!$C$2:$C$1001,,)=0,"",_xlfn.XLOOKUP(C320,customers!$A$2:$A$1001,customers!$C$2:$C$1001,,))</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cm="1">
        <f t="array" ref="N320">_xlfn.IFS(I320="Rob","Robusta",I320="Exc","Excelsa",I320="Ara","Arabica",I320="Lib","Liberica")</f>
        <v>Arabica</v>
      </c>
      <c r="O320" t="str" cm="1">
        <f t="array" ref="O320">_xlfn.IFS(J320="M","Medium",J320="L","Light",J320="D","Dark")</f>
        <v>Medium</v>
      </c>
      <c r="P320" t="str">
        <f>_xlfn.XLOOKUP(Orders[[#This Row],[Customer ID]],customers!$A$1:$A$1001,customers!$I$1:$I$1001,,0)</f>
        <v>Yes</v>
      </c>
    </row>
    <row r="321" spans="1:16" x14ac:dyDescent="0.25">
      <c r="A321" s="2" t="s">
        <v>2291</v>
      </c>
      <c r="B321" s="3">
        <v>43676</v>
      </c>
      <c r="C321" s="2" t="s">
        <v>2292</v>
      </c>
      <c r="D321" t="s">
        <v>6156</v>
      </c>
      <c r="E321" s="2">
        <v>2</v>
      </c>
      <c r="F321" s="2" t="str">
        <f>_xlfn.XLOOKUP(orders!C321,customers!$A$2:$A$1001,customers!$B$2:$B$1001)</f>
        <v>Gabie Tweed</v>
      </c>
      <c r="G321" s="2" t="str">
        <f>IF(_xlfn.XLOOKUP(C321,customers!$A$2:$A$1001,customers!$C$2:$C$1001,,)=0,"",_xlfn.XLOOKUP(C321,customers!$A$2:$A$1001,customers!$C$2:$C$1001,,))</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cm="1">
        <f t="array" ref="N321">_xlfn.IFS(I321="Rob","Robusta",I321="Exc","Excelsa",I321="Ara","Arabica",I321="Lib","Liberica")</f>
        <v>Excelsa</v>
      </c>
      <c r="O321" t="str" cm="1">
        <f t="array" ref="O321">_xlfn.IFS(J321="M","Medium",J321="L","Light",J321="D","Dark")</f>
        <v>Medium</v>
      </c>
      <c r="P321" t="str">
        <f>_xlfn.XLOOKUP(Orders[[#This Row],[Customer ID]],customers!$A$1:$A$1001,customers!$I$1:$I$1001,,0)</f>
        <v>Yes</v>
      </c>
    </row>
    <row r="322" spans="1:16" x14ac:dyDescent="0.25">
      <c r="A322" s="2" t="s">
        <v>2291</v>
      </c>
      <c r="B322" s="3">
        <v>43676</v>
      </c>
      <c r="C322" s="2" t="s">
        <v>2292</v>
      </c>
      <c r="D322" t="s">
        <v>6167</v>
      </c>
      <c r="E322" s="2">
        <v>5</v>
      </c>
      <c r="F322" s="2" t="str">
        <f>_xlfn.XLOOKUP(orders!C322,customers!$A$2:$A$1001,customers!$B$2:$B$1001)</f>
        <v>Gabie Tweed</v>
      </c>
      <c r="G322" s="2" t="str">
        <f>IF(_xlfn.XLOOKUP(C322,customers!$A$2:$A$1001,customers!$C$2:$C$1001,,)=0,"",_xlfn.XLOOKUP(C322,customers!$A$2:$A$1001,customers!$C$2:$C$1001,,))</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cm="1">
        <f t="array" ref="N322">_xlfn.IFS(I322="Rob","Robusta",I322="Exc","Excelsa",I322="Ara","Arabica",I322="Lib","Liberica")</f>
        <v>Arabica</v>
      </c>
      <c r="O322" t="str" cm="1">
        <f t="array" ref="O322">_xlfn.IFS(J322="M","Medium",J322="L","Light",J322="D","Dark")</f>
        <v>Light</v>
      </c>
      <c r="P322" t="str">
        <f>_xlfn.XLOOKUP(Orders[[#This Row],[Customer ID]],customers!$A$1:$A$1001,customers!$I$1:$I$1001,,0)</f>
        <v>Yes</v>
      </c>
    </row>
    <row r="323" spans="1:16" x14ac:dyDescent="0.25">
      <c r="A323" s="2" t="s">
        <v>2301</v>
      </c>
      <c r="B323" s="3">
        <v>44170</v>
      </c>
      <c r="C323" s="2" t="s">
        <v>2302</v>
      </c>
      <c r="D323" t="s">
        <v>6152</v>
      </c>
      <c r="E323" s="2">
        <v>6</v>
      </c>
      <c r="F323" s="2" t="str">
        <f>_xlfn.XLOOKUP(orders!C323,customers!$A$2:$A$1001,customers!$B$2:$B$1001)</f>
        <v>Gaile Goggin</v>
      </c>
      <c r="G323" s="2" t="str">
        <f>IF(_xlfn.XLOOKUP(C323,customers!$A$2:$A$1001,customers!$C$2:$C$1001,,)=0,"",_xlfn.XLOOKUP(C323,customers!$A$2:$A$1001,customers!$C$2:$C$1001,,))</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L323*E323</f>
        <v>20.25</v>
      </c>
      <c r="N323" t="str" cm="1">
        <f t="array" ref="N323">_xlfn.IFS(I323="Rob","Robusta",I323="Exc","Excelsa",I323="Ara","Arabica",I323="Lib","Liberica")</f>
        <v>Arabica</v>
      </c>
      <c r="O323" t="str" cm="1">
        <f t="array" ref="O323">_xlfn.IFS(J323="M","Medium",J323="L","Light",J323="D","Dark")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_xlfn.XLOOKUP(orders!C324,customers!$A$2:$A$1001,customers!$B$2:$B$1001)</f>
        <v>Skylar Jeyness</v>
      </c>
      <c r="G324" s="2" t="str">
        <f>IF(_xlfn.XLOOKUP(C324,customers!$A$2:$A$1001,customers!$C$2:$C$1001,,)=0,"",_xlfn.XLOOKUP(C324,customers!$A$2:$A$1001,customers!$C$2:$C$1001,,))</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cm="1">
        <f t="array" ref="N324">_xlfn.IFS(I324="Rob","Robusta",I324="Exc","Excelsa",I324="Ara","Arabica",I324="Lib","Liberica")</f>
        <v>Liberica</v>
      </c>
      <c r="O324" t="str" cm="1">
        <f t="array" ref="O324">_xlfn.IFS(J324="M","Medium",J324="L","Light",J324="D","Dark")</f>
        <v>Dark</v>
      </c>
      <c r="P324" t="str">
        <f>_xlfn.XLOOKUP(Orders[[#This Row],[Customer ID]],customers!$A$1:$A$1001,customers!$I$1:$I$1001,,0)</f>
        <v>No</v>
      </c>
    </row>
    <row r="325" spans="1:16" x14ac:dyDescent="0.25">
      <c r="A325" s="2" t="s">
        <v>2313</v>
      </c>
      <c r="B325" s="3">
        <v>44373</v>
      </c>
      <c r="C325" s="2" t="s">
        <v>2314</v>
      </c>
      <c r="D325" t="s">
        <v>6153</v>
      </c>
      <c r="E325" s="2">
        <v>5</v>
      </c>
      <c r="F325" s="2" t="str">
        <f>_xlfn.XLOOKUP(orders!C325,customers!$A$2:$A$1001,customers!$B$2:$B$1001)</f>
        <v>Donica Bonhome</v>
      </c>
      <c r="G325" s="2" t="str">
        <f>IF(_xlfn.XLOOKUP(C325,customers!$A$2:$A$1001,customers!$C$2:$C$1001,,)=0,"",_xlfn.XLOOKUP(C325,customers!$A$2:$A$1001,customers!$C$2:$C$1001,,))</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cm="1">
        <f t="array" ref="N325">_xlfn.IFS(I325="Rob","Robusta",I325="Exc","Excelsa",I325="Ara","Arabica",I325="Lib","Liberica")</f>
        <v>Excelsa</v>
      </c>
      <c r="O325" t="str" cm="1">
        <f t="array" ref="O325">_xlfn.IFS(J325="M","Medium",J325="L","Light",J325="D","Dark")</f>
        <v>Dark</v>
      </c>
      <c r="P325" t="str">
        <f>_xlfn.XLOOKUP(Orders[[#This Row],[Customer ID]],customers!$A$1:$A$1001,customers!$I$1:$I$1001,,0)</f>
        <v>Yes</v>
      </c>
    </row>
    <row r="326" spans="1:16" x14ac:dyDescent="0.25">
      <c r="A326" s="2" t="s">
        <v>2319</v>
      </c>
      <c r="B326" s="3">
        <v>43666</v>
      </c>
      <c r="C326" s="2" t="s">
        <v>2320</v>
      </c>
      <c r="D326" t="s">
        <v>6141</v>
      </c>
      <c r="E326" s="2">
        <v>1</v>
      </c>
      <c r="F326" s="2" t="str">
        <f>_xlfn.XLOOKUP(orders!C326,customers!$A$2:$A$1001,customers!$B$2:$B$1001)</f>
        <v>Diena Peetermann</v>
      </c>
      <c r="G326" s="2" t="str">
        <f>IF(_xlfn.XLOOKUP(C326,customers!$A$2:$A$1001,customers!$C$2:$C$1001,,)=0,"",_xlfn.XLOOKUP(C326,customers!$A$2:$A$1001,customers!$C$2:$C$1001,,))</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cm="1">
        <f t="array" ref="N326">_xlfn.IFS(I326="Rob","Robusta",I326="Exc","Excelsa",I326="Ara","Arabica",I326="Lib","Liberica")</f>
        <v>Excelsa</v>
      </c>
      <c r="O326" t="str" cm="1">
        <f t="array" ref="O326">_xlfn.IFS(J326="M","Medium",J326="L","Light",J326="D","Dark")</f>
        <v>Medium</v>
      </c>
      <c r="P326" t="str">
        <f>_xlfn.XLOOKUP(Orders[[#This Row],[Customer ID]],customers!$A$1:$A$1001,customers!$I$1:$I$1001,,0)</f>
        <v>No</v>
      </c>
    </row>
    <row r="327" spans="1:16" x14ac:dyDescent="0.25">
      <c r="A327" s="2" t="s">
        <v>2324</v>
      </c>
      <c r="B327" s="3">
        <v>44756</v>
      </c>
      <c r="C327" s="2" t="s">
        <v>2325</v>
      </c>
      <c r="D327" t="s">
        <v>6182</v>
      </c>
      <c r="E327" s="2">
        <v>1</v>
      </c>
      <c r="F327" s="2" t="str">
        <f>_xlfn.XLOOKUP(orders!C327,customers!$A$2:$A$1001,customers!$B$2:$B$1001)</f>
        <v>Trina Le Sarr</v>
      </c>
      <c r="G327" s="2" t="str">
        <f>IF(_xlfn.XLOOKUP(C327,customers!$A$2:$A$1001,customers!$C$2:$C$1001,,)=0,"",_xlfn.XLOOKUP(C327,customers!$A$2:$A$1001,customers!$C$2:$C$1001,,))</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cm="1">
        <f t="array" ref="N327">_xlfn.IFS(I327="Rob","Robusta",I327="Exc","Excelsa",I327="Ara","Arabica",I327="Lib","Liberica")</f>
        <v>Arabica</v>
      </c>
      <c r="O327" t="str" cm="1">
        <f t="array" ref="O327">_xlfn.IFS(J327="M","Medium",J327="L","Light",J327="D","Dark")</f>
        <v>Light</v>
      </c>
      <c r="P327" t="str">
        <f>_xlfn.XLOOKUP(Orders[[#This Row],[Customer ID]],customers!$A$1:$A$1001,customers!$I$1:$I$1001,,0)</f>
        <v>Yes</v>
      </c>
    </row>
    <row r="328" spans="1:16" x14ac:dyDescent="0.25">
      <c r="A328" s="2" t="s">
        <v>2330</v>
      </c>
      <c r="B328" s="3">
        <v>44057</v>
      </c>
      <c r="C328" s="2" t="s">
        <v>2331</v>
      </c>
      <c r="D328" t="s">
        <v>6177</v>
      </c>
      <c r="E328" s="2">
        <v>5</v>
      </c>
      <c r="F328" s="2" t="str">
        <f>_xlfn.XLOOKUP(orders!C328,customers!$A$2:$A$1001,customers!$B$2:$B$1001)</f>
        <v>Flynn Antony</v>
      </c>
      <c r="G328" s="2" t="str">
        <f>IF(_xlfn.XLOOKUP(C328,customers!$A$2:$A$1001,customers!$C$2:$C$1001,,)=0,"",_xlfn.XLOOKUP(C328,customers!$A$2:$A$1001,customers!$C$2:$C$1001,,))</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cm="1">
        <f t="array" ref="N328">_xlfn.IFS(I328="Rob","Robusta",I328="Exc","Excelsa",I328="Ara","Arabica",I328="Lib","Liberica")</f>
        <v>Robusta</v>
      </c>
      <c r="O328" t="str" cm="1">
        <f t="array" ref="O328">_xlfn.IFS(J328="M","Medium",J328="L","Light",J328="D","Dark")</f>
        <v>Dark</v>
      </c>
      <c r="P328" t="str">
        <f>_xlfn.XLOOKUP(Orders[[#This Row],[Customer ID]],customers!$A$1:$A$1001,customers!$I$1:$I$1001,,0)</f>
        <v>No</v>
      </c>
    </row>
    <row r="329" spans="1:16" x14ac:dyDescent="0.25">
      <c r="A329" s="2" t="s">
        <v>2335</v>
      </c>
      <c r="B329" s="3">
        <v>43579</v>
      </c>
      <c r="C329" s="2" t="s">
        <v>2336</v>
      </c>
      <c r="D329" t="s">
        <v>6177</v>
      </c>
      <c r="E329" s="2">
        <v>5</v>
      </c>
      <c r="F329" s="2" t="str">
        <f>_xlfn.XLOOKUP(orders!C329,customers!$A$2:$A$1001,customers!$B$2:$B$1001)</f>
        <v>Baudoin Alldridge</v>
      </c>
      <c r="G329" s="2" t="str">
        <f>IF(_xlfn.XLOOKUP(C329,customers!$A$2:$A$1001,customers!$C$2:$C$1001,,)=0,"",_xlfn.XLOOKUP(C329,customers!$A$2:$A$1001,customers!$C$2:$C$1001,,))</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cm="1">
        <f t="array" ref="N329">_xlfn.IFS(I329="Rob","Robusta",I329="Exc","Excelsa",I329="Ara","Arabica",I329="Lib","Liberica")</f>
        <v>Robusta</v>
      </c>
      <c r="O329" t="str" cm="1">
        <f t="array" ref="O329">_xlfn.IFS(J329="M","Medium",J329="L","Light",J329="D","Dark")</f>
        <v>Dark</v>
      </c>
      <c r="P329" t="str">
        <f>_xlfn.XLOOKUP(Orders[[#This Row],[Customer ID]],customers!$A$1:$A$1001,customers!$I$1:$I$1001,,0)</f>
        <v>Yes</v>
      </c>
    </row>
    <row r="330" spans="1:16" x14ac:dyDescent="0.25">
      <c r="A330" s="2" t="s">
        <v>2341</v>
      </c>
      <c r="B330" s="3">
        <v>43620</v>
      </c>
      <c r="C330" s="2" t="s">
        <v>2342</v>
      </c>
      <c r="D330" t="s">
        <v>6161</v>
      </c>
      <c r="E330" s="2">
        <v>4</v>
      </c>
      <c r="F330" s="2" t="str">
        <f>_xlfn.XLOOKUP(orders!C330,customers!$A$2:$A$1001,customers!$B$2:$B$1001)</f>
        <v>Homer Dulany</v>
      </c>
      <c r="G330" s="2" t="str">
        <f>IF(_xlfn.XLOOKUP(C330,customers!$A$2:$A$1001,customers!$C$2:$C$1001,,)=0,"",_xlfn.XLOOKUP(C330,customers!$A$2:$A$1001,customers!$C$2:$C$1001,,))</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cm="1">
        <f t="array" ref="N330">_xlfn.IFS(I330="Rob","Robusta",I330="Exc","Excelsa",I330="Ara","Arabica",I330="Lib","Liberica")</f>
        <v>Liberica</v>
      </c>
      <c r="O330" t="str" cm="1">
        <f t="array" ref="O330">_xlfn.IFS(J330="M","Medium",J330="L","Light",J330="D","Dark")</f>
        <v>Light</v>
      </c>
      <c r="P330" t="str">
        <f>_xlfn.XLOOKUP(Orders[[#This Row],[Customer ID]],customers!$A$1:$A$1001,customers!$I$1:$I$1001,,0)</f>
        <v>Yes</v>
      </c>
    </row>
    <row r="331" spans="1:16" x14ac:dyDescent="0.25">
      <c r="A331" s="2" t="s">
        <v>2346</v>
      </c>
      <c r="B331" s="3">
        <v>44781</v>
      </c>
      <c r="C331" s="2" t="s">
        <v>2347</v>
      </c>
      <c r="D331" t="s">
        <v>6172</v>
      </c>
      <c r="E331" s="2">
        <v>4</v>
      </c>
      <c r="F331" s="2" t="str">
        <f>_xlfn.XLOOKUP(orders!C331,customers!$A$2:$A$1001,customers!$B$2:$B$1001)</f>
        <v>Lisa Goodger</v>
      </c>
      <c r="G331" s="2" t="str">
        <f>IF(_xlfn.XLOOKUP(C331,customers!$A$2:$A$1001,customers!$C$2:$C$1001,,)=0,"",_xlfn.XLOOKUP(C331,customers!$A$2:$A$1001,customers!$C$2:$C$1001,,))</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cm="1">
        <f t="array" ref="N331">_xlfn.IFS(I331="Rob","Robusta",I331="Exc","Excelsa",I331="Ara","Arabica",I331="Lib","Liberica")</f>
        <v>Robusta</v>
      </c>
      <c r="O331" t="str" cm="1">
        <f t="array" ref="O331">_xlfn.IFS(J331="M","Medium",J331="L","Light",J331="D","Dark")</f>
        <v>Dark</v>
      </c>
      <c r="P331" t="str">
        <f>_xlfn.XLOOKUP(Orders[[#This Row],[Customer ID]],customers!$A$1:$A$1001,customers!$I$1:$I$1001,,0)</f>
        <v>Yes</v>
      </c>
    </row>
    <row r="332" spans="1:16" x14ac:dyDescent="0.25">
      <c r="A332" s="2" t="s">
        <v>2351</v>
      </c>
      <c r="B332" s="3">
        <v>43782</v>
      </c>
      <c r="C332" s="2" t="s">
        <v>2280</v>
      </c>
      <c r="D332" t="s">
        <v>6172</v>
      </c>
      <c r="E332" s="2">
        <v>3</v>
      </c>
      <c r="F332" s="2" t="str">
        <f>_xlfn.XLOOKUP(orders!C332,customers!$A$2:$A$1001,customers!$B$2:$B$1001)</f>
        <v>Selma McMillian</v>
      </c>
      <c r="G332" s="2" t="str">
        <f>IF(_xlfn.XLOOKUP(C332,customers!$A$2:$A$1001,customers!$C$2:$C$1001,,)=0,"",_xlfn.XLOOKUP(C332,customers!$A$2:$A$1001,customers!$C$2:$C$1001,,))</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cm="1">
        <f t="array" ref="N332">_xlfn.IFS(I332="Rob","Robusta",I332="Exc","Excelsa",I332="Ara","Arabica",I332="Lib","Liberica")</f>
        <v>Robusta</v>
      </c>
      <c r="O332" t="str" cm="1">
        <f t="array" ref="O332">_xlfn.IFS(J332="M","Medium",J332="L","Light",J332="D","Dark")</f>
        <v>Dark</v>
      </c>
      <c r="P332" t="str">
        <f>_xlfn.XLOOKUP(Orders[[#This Row],[Customer ID]],customers!$A$1:$A$1001,customers!$I$1:$I$1001,,0)</f>
        <v>No</v>
      </c>
    </row>
    <row r="333" spans="1:16" x14ac:dyDescent="0.25">
      <c r="A333" s="2" t="s">
        <v>2357</v>
      </c>
      <c r="B333" s="3">
        <v>43989</v>
      </c>
      <c r="C333" s="2" t="s">
        <v>2358</v>
      </c>
      <c r="D333" t="s">
        <v>6151</v>
      </c>
      <c r="E333" s="2">
        <v>1</v>
      </c>
      <c r="F333" s="2" t="str">
        <f>_xlfn.XLOOKUP(orders!C333,customers!$A$2:$A$1001,customers!$B$2:$B$1001)</f>
        <v>Corine Drewett</v>
      </c>
      <c r="G333" s="2" t="str">
        <f>IF(_xlfn.XLOOKUP(C333,customers!$A$2:$A$1001,customers!$C$2:$C$1001,,)=0,"",_xlfn.XLOOKUP(C333,customers!$A$2:$A$1001,customers!$C$2:$C$1001,,))</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cm="1">
        <f t="array" ref="N333">_xlfn.IFS(I333="Rob","Robusta",I333="Exc","Excelsa",I333="Ara","Arabica",I333="Lib","Liberica")</f>
        <v>Robusta</v>
      </c>
      <c r="O333" t="str" cm="1">
        <f t="array" ref="O333">_xlfn.IFS(J333="M","Medium",J333="L","Light",J333="D","Dark")</f>
        <v>Medium</v>
      </c>
      <c r="P333" t="str">
        <f>_xlfn.XLOOKUP(Orders[[#This Row],[Customer ID]],customers!$A$1:$A$1001,customers!$I$1:$I$1001,,0)</f>
        <v>Yes</v>
      </c>
    </row>
    <row r="334" spans="1:16" x14ac:dyDescent="0.25">
      <c r="A334" s="2" t="s">
        <v>2363</v>
      </c>
      <c r="B334" s="3">
        <v>43689</v>
      </c>
      <c r="C334" s="2" t="s">
        <v>2364</v>
      </c>
      <c r="D334" t="s">
        <v>6158</v>
      </c>
      <c r="E334" s="2">
        <v>3</v>
      </c>
      <c r="F334" s="2" t="str">
        <f>_xlfn.XLOOKUP(orders!C334,customers!$A$2:$A$1001,customers!$B$2:$B$1001)</f>
        <v>Quinn Parsons</v>
      </c>
      <c r="G334" s="2" t="str">
        <f>IF(_xlfn.XLOOKUP(C334,customers!$A$2:$A$1001,customers!$C$2:$C$1001,,)=0,"",_xlfn.XLOOKUP(C334,customers!$A$2:$A$1001,customers!$C$2:$C$1001,,))</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cm="1">
        <f t="array" ref="N334">_xlfn.IFS(I334="Rob","Robusta",I334="Exc","Excelsa",I334="Ara","Arabica",I334="Lib","Liberica")</f>
        <v>Arabica</v>
      </c>
      <c r="O334" t="str" cm="1">
        <f t="array" ref="O334">_xlfn.IFS(J334="M","Medium",J334="L","Light",J334="D","Dark")</f>
        <v>Dark</v>
      </c>
      <c r="P334" t="str">
        <f>_xlfn.XLOOKUP(Orders[[#This Row],[Customer ID]],customers!$A$1:$A$1001,customers!$I$1:$I$1001,,0)</f>
        <v>Yes</v>
      </c>
    </row>
    <row r="335" spans="1:16" x14ac:dyDescent="0.25">
      <c r="A335" s="2" t="s">
        <v>2369</v>
      </c>
      <c r="B335" s="3">
        <v>43712</v>
      </c>
      <c r="C335" s="2" t="s">
        <v>2370</v>
      </c>
      <c r="D335" t="s">
        <v>6146</v>
      </c>
      <c r="E335" s="2">
        <v>4</v>
      </c>
      <c r="F335" s="2" t="str">
        <f>_xlfn.XLOOKUP(orders!C335,customers!$A$2:$A$1001,customers!$B$2:$B$1001)</f>
        <v>Vivyan Ceely</v>
      </c>
      <c r="G335" s="2" t="str">
        <f>IF(_xlfn.XLOOKUP(C335,customers!$A$2:$A$1001,customers!$C$2:$C$1001,,)=0,"",_xlfn.XLOOKUP(C335,customers!$A$2:$A$1001,customers!$C$2:$C$1001,,))</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cm="1">
        <f t="array" ref="N335">_xlfn.IFS(I335="Rob","Robusta",I335="Exc","Excelsa",I335="Ara","Arabica",I335="Lib","Liberica")</f>
        <v>Robusta</v>
      </c>
      <c r="O335" t="str" cm="1">
        <f t="array" ref="O335">_xlfn.IFS(J335="M","Medium",J335="L","Light",J335="D","Dark")</f>
        <v>Medium</v>
      </c>
      <c r="P335" t="str">
        <f>_xlfn.XLOOKUP(Orders[[#This Row],[Customer ID]],customers!$A$1:$A$1001,customers!$I$1:$I$1001,,0)</f>
        <v>Yes</v>
      </c>
    </row>
    <row r="336" spans="1:16" x14ac:dyDescent="0.25">
      <c r="A336" s="2" t="s">
        <v>2375</v>
      </c>
      <c r="B336" s="3">
        <v>43742</v>
      </c>
      <c r="C336" s="2" t="s">
        <v>2376</v>
      </c>
      <c r="D336" t="s">
        <v>6179</v>
      </c>
      <c r="E336" s="2">
        <v>5</v>
      </c>
      <c r="F336" s="2" t="str">
        <f>_xlfn.XLOOKUP(orders!C336,customers!$A$2:$A$1001,customers!$B$2:$B$1001)</f>
        <v>Elonore Goodings</v>
      </c>
      <c r="G336" s="2" t="str">
        <f>IF(_xlfn.XLOOKUP(C336,customers!$A$2:$A$1001,customers!$C$2:$C$1001,,)=0,"",_xlfn.XLOOKUP(C336,customers!$A$2:$A$1001,customers!$C$2:$C$1001,,))</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cm="1">
        <f t="array" ref="N336">_xlfn.IFS(I336="Rob","Robusta",I336="Exc","Excelsa",I336="Ara","Arabica",I336="Lib","Liberica")</f>
        <v>Robusta</v>
      </c>
      <c r="O336" t="str" cm="1">
        <f t="array" ref="O336">_xlfn.IFS(J336="M","Medium",J336="L","Light",J336="D","Dark")</f>
        <v>Light</v>
      </c>
      <c r="P336" t="str">
        <f>_xlfn.XLOOKUP(Orders[[#This Row],[Customer ID]],customers!$A$1:$A$1001,customers!$I$1:$I$1001,,0)</f>
        <v>No</v>
      </c>
    </row>
    <row r="337" spans="1:16" x14ac:dyDescent="0.25">
      <c r="A337" s="2" t="s">
        <v>2379</v>
      </c>
      <c r="B337" s="3">
        <v>43885</v>
      </c>
      <c r="C337" s="2" t="s">
        <v>2380</v>
      </c>
      <c r="D337" t="s">
        <v>6145</v>
      </c>
      <c r="E337" s="2">
        <v>6</v>
      </c>
      <c r="F337" s="2" t="str">
        <f>_xlfn.XLOOKUP(orders!C337,customers!$A$2:$A$1001,customers!$B$2:$B$1001)</f>
        <v>Clement Vasiliev</v>
      </c>
      <c r="G337" s="2" t="str">
        <f>IF(_xlfn.XLOOKUP(C337,customers!$A$2:$A$1001,customers!$C$2:$C$1001,,)=0,"",_xlfn.XLOOKUP(C337,customers!$A$2:$A$1001,customers!$C$2:$C$1001,,))</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cm="1">
        <f t="array" ref="N337">_xlfn.IFS(I337="Rob","Robusta",I337="Exc","Excelsa",I337="Ara","Arabica",I337="Lib","Liberica")</f>
        <v>Liberica</v>
      </c>
      <c r="O337" t="str" cm="1">
        <f t="array" ref="O337">_xlfn.IFS(J337="M","Medium",J337="L","Light",J337="D","Dark")</f>
        <v>Light</v>
      </c>
      <c r="P337" t="str">
        <f>_xlfn.XLOOKUP(Orders[[#This Row],[Customer ID]],customers!$A$1:$A$1001,customers!$I$1:$I$1001,,0)</f>
        <v>Yes</v>
      </c>
    </row>
    <row r="338" spans="1:16" x14ac:dyDescent="0.25">
      <c r="A338" s="2" t="s">
        <v>2385</v>
      </c>
      <c r="B338" s="3">
        <v>44434</v>
      </c>
      <c r="C338" s="2" t="s">
        <v>2386</v>
      </c>
      <c r="D338" t="s">
        <v>6155</v>
      </c>
      <c r="E338" s="2">
        <v>4</v>
      </c>
      <c r="F338" s="2" t="str">
        <f>_xlfn.XLOOKUP(orders!C338,customers!$A$2:$A$1001,customers!$B$2:$B$1001)</f>
        <v>Terencio O'Moylan</v>
      </c>
      <c r="G338" s="2" t="str">
        <f>IF(_xlfn.XLOOKUP(C338,customers!$A$2:$A$1001,customers!$C$2:$C$1001,,)=0,"",_xlfn.XLOOKUP(C338,customers!$A$2:$A$1001,customers!$C$2:$C$1001,,))</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cm="1">
        <f t="array" ref="N338">_xlfn.IFS(I338="Rob","Robusta",I338="Exc","Excelsa",I338="Ara","Arabica",I338="Lib","Liberica")</f>
        <v>Arabica</v>
      </c>
      <c r="O338" t="str" cm="1">
        <f t="array" ref="O338">_xlfn.IFS(J338="M","Medium",J338="L","Light",J338="D","Dark")</f>
        <v>Medium</v>
      </c>
      <c r="P338" t="str">
        <f>_xlfn.XLOOKUP(Orders[[#This Row],[Customer ID]],customers!$A$1:$A$1001,customers!$I$1:$I$1001,,0)</f>
        <v>No</v>
      </c>
    </row>
    <row r="339" spans="1:16" x14ac:dyDescent="0.25">
      <c r="A339" s="2" t="s">
        <v>2391</v>
      </c>
      <c r="B339" s="3">
        <v>44472</v>
      </c>
      <c r="C339" s="2" t="s">
        <v>2331</v>
      </c>
      <c r="D339" t="s">
        <v>6185</v>
      </c>
      <c r="E339" s="2">
        <v>2</v>
      </c>
      <c r="F339" s="2" t="str">
        <f>_xlfn.XLOOKUP(orders!C339,customers!$A$2:$A$1001,customers!$B$2:$B$1001)</f>
        <v>Flynn Antony</v>
      </c>
      <c r="G339" s="2" t="str">
        <f>IF(_xlfn.XLOOKUP(C339,customers!$A$2:$A$1001,customers!$C$2:$C$1001,,)=0,"",_xlfn.XLOOKUP(C339,customers!$A$2:$A$1001,customers!$C$2:$C$1001,,))</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cm="1">
        <f t="array" ref="N339">_xlfn.IFS(I339="Rob","Robusta",I339="Exc","Excelsa",I339="Ara","Arabica",I339="Lib","Liberica")</f>
        <v>Excelsa</v>
      </c>
      <c r="O339" t="str" cm="1">
        <f t="array" ref="O339">_xlfn.IFS(J339="M","Medium",J339="L","Light",J339="D","Dark")</f>
        <v>Dark</v>
      </c>
      <c r="P339" t="str">
        <f>_xlfn.XLOOKUP(Orders[[#This Row],[Customer ID]],customers!$A$1:$A$1001,customers!$I$1:$I$1001,,0)</f>
        <v>No</v>
      </c>
    </row>
    <row r="340" spans="1:16" x14ac:dyDescent="0.25">
      <c r="A340" s="2" t="s">
        <v>2396</v>
      </c>
      <c r="B340" s="3">
        <v>43995</v>
      </c>
      <c r="C340" s="2" t="s">
        <v>2397</v>
      </c>
      <c r="D340" t="s">
        <v>6171</v>
      </c>
      <c r="E340" s="2">
        <v>4</v>
      </c>
      <c r="F340" s="2" t="str">
        <f>_xlfn.XLOOKUP(orders!C340,customers!$A$2:$A$1001,customers!$B$2:$B$1001)</f>
        <v>Wyatan Fetherston</v>
      </c>
      <c r="G340" s="2" t="str">
        <f>IF(_xlfn.XLOOKUP(C340,customers!$A$2:$A$1001,customers!$C$2:$C$1001,,)=0,"",_xlfn.XLOOKUP(C340,customers!$A$2:$A$1001,customers!$C$2:$C$1001,,))</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cm="1">
        <f t="array" ref="N340">_xlfn.IFS(I340="Rob","Robusta",I340="Exc","Excelsa",I340="Ara","Arabica",I340="Lib","Liberica")</f>
        <v>Excelsa</v>
      </c>
      <c r="O340" t="str" cm="1">
        <f t="array" ref="O340">_xlfn.IFS(J340="M","Medium",J340="L","Light",J340="D","Dark")</f>
        <v>Light</v>
      </c>
      <c r="P340" t="str">
        <f>_xlfn.XLOOKUP(Orders[[#This Row],[Customer ID]],customers!$A$1:$A$1001,customers!$I$1:$I$1001,,0)</f>
        <v>No</v>
      </c>
    </row>
    <row r="341" spans="1:16" x14ac:dyDescent="0.25">
      <c r="A341" s="2" t="s">
        <v>2402</v>
      </c>
      <c r="B341" s="3">
        <v>44256</v>
      </c>
      <c r="C341" s="2" t="s">
        <v>2403</v>
      </c>
      <c r="D341" t="s">
        <v>6153</v>
      </c>
      <c r="E341" s="2">
        <v>2</v>
      </c>
      <c r="F341" s="2" t="str">
        <f>_xlfn.XLOOKUP(orders!C341,customers!$A$2:$A$1001,customers!$B$2:$B$1001)</f>
        <v>Emmaline Rasmus</v>
      </c>
      <c r="G341" s="2" t="str">
        <f>IF(_xlfn.XLOOKUP(C341,customers!$A$2:$A$1001,customers!$C$2:$C$1001,,)=0,"",_xlfn.XLOOKUP(C341,customers!$A$2:$A$1001,customers!$C$2:$C$1001,,))</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cm="1">
        <f t="array" ref="N341">_xlfn.IFS(I341="Rob","Robusta",I341="Exc","Excelsa",I341="Ara","Arabica",I341="Lib","Liberica")</f>
        <v>Excelsa</v>
      </c>
      <c r="O341" t="str" cm="1">
        <f t="array" ref="O341">_xlfn.IFS(J341="M","Medium",J341="L","Light",J341="D","Dark")</f>
        <v>Dark</v>
      </c>
      <c r="P341" t="str">
        <f>_xlfn.XLOOKUP(Orders[[#This Row],[Customer ID]],customers!$A$1:$A$1001,customers!$I$1:$I$1001,,0)</f>
        <v>Yes</v>
      </c>
    </row>
    <row r="342" spans="1:16" x14ac:dyDescent="0.25">
      <c r="A342" s="2" t="s">
        <v>2408</v>
      </c>
      <c r="B342" s="3">
        <v>43528</v>
      </c>
      <c r="C342" s="2" t="s">
        <v>2409</v>
      </c>
      <c r="D342" t="s">
        <v>6144</v>
      </c>
      <c r="E342" s="2">
        <v>1</v>
      </c>
      <c r="F342" s="2" t="str">
        <f>_xlfn.XLOOKUP(orders!C342,customers!$A$2:$A$1001,customers!$B$2:$B$1001)</f>
        <v>Wesley Giorgioni</v>
      </c>
      <c r="G342" s="2" t="str">
        <f>IF(_xlfn.XLOOKUP(C342,customers!$A$2:$A$1001,customers!$C$2:$C$1001,,)=0,"",_xlfn.XLOOKUP(C342,customers!$A$2:$A$1001,customers!$C$2:$C$1001,,))</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cm="1">
        <f t="array" ref="N342">_xlfn.IFS(I342="Rob","Robusta",I342="Exc","Excelsa",I342="Ara","Arabica",I342="Lib","Liberica")</f>
        <v>Excelsa</v>
      </c>
      <c r="O342" t="str" cm="1">
        <f t="array" ref="O342">_xlfn.IFS(J342="M","Medium",J342="L","Light",J342="D","Dark")</f>
        <v>Dark</v>
      </c>
      <c r="P342" t="str">
        <f>_xlfn.XLOOKUP(Orders[[#This Row],[Customer ID]],customers!$A$1:$A$1001,customers!$I$1:$I$1001,,0)</f>
        <v>Yes</v>
      </c>
    </row>
    <row r="343" spans="1:16" x14ac:dyDescent="0.25">
      <c r="A343" s="2" t="s">
        <v>2414</v>
      </c>
      <c r="B343" s="3">
        <v>43751</v>
      </c>
      <c r="C343" s="2" t="s">
        <v>2415</v>
      </c>
      <c r="D343" t="s">
        <v>6176</v>
      </c>
      <c r="E343" s="2">
        <v>2</v>
      </c>
      <c r="F343" s="2" t="str">
        <f>_xlfn.XLOOKUP(orders!C343,customers!$A$2:$A$1001,customers!$B$2:$B$1001)</f>
        <v>Lucienne Scargle</v>
      </c>
      <c r="G343" s="2" t="str">
        <f>IF(_xlfn.XLOOKUP(C343,customers!$A$2:$A$1001,customers!$C$2:$C$1001,,)=0,"",_xlfn.XLOOKUP(C343,customers!$A$2:$A$1001,customers!$C$2:$C$1001,,))</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cm="1">
        <f t="array" ref="N343">_xlfn.IFS(I343="Rob","Robusta",I343="Exc","Excelsa",I343="Ara","Arabica",I343="Lib","Liberica")</f>
        <v>Excelsa</v>
      </c>
      <c r="O343" t="str" cm="1">
        <f t="array" ref="O343">_xlfn.IFS(J343="M","Medium",J343="L","Light",J343="D","Dark")</f>
        <v>Light</v>
      </c>
      <c r="P343" t="str">
        <f>_xlfn.XLOOKUP(Orders[[#This Row],[Customer ID]],customers!$A$1:$A$1001,customers!$I$1:$I$1001,,0)</f>
        <v>No</v>
      </c>
    </row>
    <row r="344" spans="1:16" x14ac:dyDescent="0.25">
      <c r="A344" s="2" t="s">
        <v>2414</v>
      </c>
      <c r="B344" s="3">
        <v>43751</v>
      </c>
      <c r="C344" s="2" t="s">
        <v>2415</v>
      </c>
      <c r="D344" t="s">
        <v>6169</v>
      </c>
      <c r="E344" s="2">
        <v>5</v>
      </c>
      <c r="F344" s="2" t="str">
        <f>_xlfn.XLOOKUP(orders!C344,customers!$A$2:$A$1001,customers!$B$2:$B$1001)</f>
        <v>Lucienne Scargle</v>
      </c>
      <c r="G344" s="2" t="str">
        <f>IF(_xlfn.XLOOKUP(C344,customers!$A$2:$A$1001,customers!$C$2:$C$1001,,)=0,"",_xlfn.XLOOKUP(C344,customers!$A$2:$A$1001,customers!$C$2:$C$1001,,))</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cm="1">
        <f t="array" ref="N344">_xlfn.IFS(I344="Rob","Robusta",I344="Exc","Excelsa",I344="Ara","Arabica",I344="Lib","Liberica")</f>
        <v>Liberica</v>
      </c>
      <c r="O344" t="str" cm="1">
        <f t="array" ref="O344">_xlfn.IFS(J344="M","Medium",J344="L","Light",J344="D","Dark")</f>
        <v>Dark</v>
      </c>
      <c r="P344" t="str">
        <f>_xlfn.XLOOKUP(Orders[[#This Row],[Customer ID]],customers!$A$1:$A$1001,customers!$I$1:$I$1001,,0)</f>
        <v>No</v>
      </c>
    </row>
    <row r="345" spans="1:16" x14ac:dyDescent="0.25">
      <c r="A345" s="2" t="s">
        <v>2424</v>
      </c>
      <c r="B345" s="3">
        <v>43692</v>
      </c>
      <c r="C345" s="2" t="s">
        <v>2425</v>
      </c>
      <c r="D345" t="s">
        <v>6172</v>
      </c>
      <c r="E345" s="2">
        <v>6</v>
      </c>
      <c r="F345" s="2" t="str">
        <f>_xlfn.XLOOKUP(orders!C345,customers!$A$2:$A$1001,customers!$B$2:$B$1001)</f>
        <v>Noam Climance</v>
      </c>
      <c r="G345" s="2" t="str">
        <f>IF(_xlfn.XLOOKUP(C345,customers!$A$2:$A$1001,customers!$C$2:$C$1001,,)=0,"",_xlfn.XLOOKUP(C345,customers!$A$2:$A$1001,customers!$C$2:$C$1001,,))</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cm="1">
        <f t="array" ref="N345">_xlfn.IFS(I345="Rob","Robusta",I345="Exc","Excelsa",I345="Ara","Arabica",I345="Lib","Liberica")</f>
        <v>Robusta</v>
      </c>
      <c r="O345" t="str" cm="1">
        <f t="array" ref="O345">_xlfn.IFS(J345="M","Medium",J345="L","Light",J345="D","Dark")</f>
        <v>Dark</v>
      </c>
      <c r="P345" t="str">
        <f>_xlfn.XLOOKUP(Orders[[#This Row],[Customer ID]],customers!$A$1:$A$1001,customers!$I$1:$I$1001,,0)</f>
        <v>No</v>
      </c>
    </row>
    <row r="346" spans="1:16" x14ac:dyDescent="0.25">
      <c r="A346" s="2" t="s">
        <v>2429</v>
      </c>
      <c r="B346" s="3">
        <v>44529</v>
      </c>
      <c r="C346" s="2" t="s">
        <v>2430</v>
      </c>
      <c r="D346" t="s">
        <v>6138</v>
      </c>
      <c r="E346" s="2">
        <v>2</v>
      </c>
      <c r="F346" s="2" t="str">
        <f>_xlfn.XLOOKUP(orders!C346,customers!$A$2:$A$1001,customers!$B$2:$B$1001)</f>
        <v>Catarina Donn</v>
      </c>
      <c r="G346" s="2" t="str">
        <f>IF(_xlfn.XLOOKUP(C346,customers!$A$2:$A$1001,customers!$C$2:$C$1001,,)=0,"",_xlfn.XLOOKUP(C346,customers!$A$2:$A$1001,customers!$C$2:$C$1001,,))</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cm="1">
        <f t="array" ref="N346">_xlfn.IFS(I346="Rob","Robusta",I346="Exc","Excelsa",I346="Ara","Arabica",I346="Lib","Liberica")</f>
        <v>Robusta</v>
      </c>
      <c r="O346" t="str" cm="1">
        <f t="array" ref="O346">_xlfn.IFS(J346="M","Medium",J346="L","Light",J346="D","Dark")</f>
        <v>Medium</v>
      </c>
      <c r="P346" t="str">
        <f>_xlfn.XLOOKUP(Orders[[#This Row],[Customer ID]],customers!$A$1:$A$1001,customers!$I$1:$I$1001,,0)</f>
        <v>Yes</v>
      </c>
    </row>
    <row r="347" spans="1:16" x14ac:dyDescent="0.25">
      <c r="A347" s="2" t="s">
        <v>2434</v>
      </c>
      <c r="B347" s="3">
        <v>43849</v>
      </c>
      <c r="C347" s="2" t="s">
        <v>2435</v>
      </c>
      <c r="D347" t="s">
        <v>6179</v>
      </c>
      <c r="E347" s="2">
        <v>5</v>
      </c>
      <c r="F347" s="2" t="str">
        <f>_xlfn.XLOOKUP(orders!C347,customers!$A$2:$A$1001,customers!$B$2:$B$1001)</f>
        <v>Ameline Snazle</v>
      </c>
      <c r="G347" s="2" t="str">
        <f>IF(_xlfn.XLOOKUP(C347,customers!$A$2:$A$1001,customers!$C$2:$C$1001,,)=0,"",_xlfn.XLOOKUP(C347,customers!$A$2:$A$1001,customers!$C$2:$C$1001,,))</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cm="1">
        <f t="array" ref="N347">_xlfn.IFS(I347="Rob","Robusta",I347="Exc","Excelsa",I347="Ara","Arabica",I347="Lib","Liberica")</f>
        <v>Robusta</v>
      </c>
      <c r="O347" t="str" cm="1">
        <f t="array" ref="O347">_xlfn.IFS(J347="M","Medium",J347="L","Light",J347="D","Dark")</f>
        <v>Light</v>
      </c>
      <c r="P347" t="str">
        <f>_xlfn.XLOOKUP(Orders[[#This Row],[Customer ID]],customers!$A$1:$A$1001,customers!$I$1:$I$1001,,0)</f>
        <v>No</v>
      </c>
    </row>
    <row r="348" spans="1:16" x14ac:dyDescent="0.25">
      <c r="A348" s="2" t="s">
        <v>2440</v>
      </c>
      <c r="B348" s="3">
        <v>44344</v>
      </c>
      <c r="C348" s="2" t="s">
        <v>2441</v>
      </c>
      <c r="D348" t="s">
        <v>6180</v>
      </c>
      <c r="E348" s="2">
        <v>3</v>
      </c>
      <c r="F348" s="2" t="str">
        <f>_xlfn.XLOOKUP(orders!C348,customers!$A$2:$A$1001,customers!$B$2:$B$1001)</f>
        <v>Rebeka Worg</v>
      </c>
      <c r="G348" s="2" t="str">
        <f>IF(_xlfn.XLOOKUP(C348,customers!$A$2:$A$1001,customers!$C$2:$C$1001,,)=0,"",_xlfn.XLOOKUP(C348,customers!$A$2:$A$1001,customers!$C$2:$C$1001,,))</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cm="1">
        <f t="array" ref="N348">_xlfn.IFS(I348="Rob","Robusta",I348="Exc","Excelsa",I348="Ara","Arabica",I348="Lib","Liberica")</f>
        <v>Arabica</v>
      </c>
      <c r="O348" t="str" cm="1">
        <f t="array" ref="O348">_xlfn.IFS(J348="M","Medium",J348="L","Light",J348="D","Dark")</f>
        <v>Light</v>
      </c>
      <c r="P348" t="str">
        <f>_xlfn.XLOOKUP(Orders[[#This Row],[Customer ID]],customers!$A$1:$A$1001,customers!$I$1:$I$1001,,0)</f>
        <v>Yes</v>
      </c>
    </row>
    <row r="349" spans="1:16" x14ac:dyDescent="0.25">
      <c r="A349" s="2" t="s">
        <v>2446</v>
      </c>
      <c r="B349" s="3">
        <v>44576</v>
      </c>
      <c r="C349" s="2" t="s">
        <v>2447</v>
      </c>
      <c r="D349" t="s">
        <v>6162</v>
      </c>
      <c r="E349" s="2">
        <v>3</v>
      </c>
      <c r="F349" s="2" t="str">
        <f>_xlfn.XLOOKUP(orders!C349,customers!$A$2:$A$1001,customers!$B$2:$B$1001)</f>
        <v>Lewes Danes</v>
      </c>
      <c r="G349" s="2" t="str">
        <f>IF(_xlfn.XLOOKUP(C349,customers!$A$2:$A$1001,customers!$C$2:$C$1001,,)=0,"",_xlfn.XLOOKUP(C349,customers!$A$2:$A$1001,customers!$C$2:$C$1001,,))</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cm="1">
        <f t="array" ref="N349">_xlfn.IFS(I349="Rob","Robusta",I349="Exc","Excelsa",I349="Ara","Arabica",I349="Lib","Liberica")</f>
        <v>Liberica</v>
      </c>
      <c r="O349" t="str" cm="1">
        <f t="array" ref="O349">_xlfn.IFS(J349="M","Medium",J349="L","Light",J349="D","Dark")</f>
        <v>Medium</v>
      </c>
      <c r="P349" t="str">
        <f>_xlfn.XLOOKUP(Orders[[#This Row],[Customer ID]],customers!$A$1:$A$1001,customers!$I$1:$I$1001,,0)</f>
        <v>No</v>
      </c>
    </row>
    <row r="350" spans="1:16" x14ac:dyDescent="0.25">
      <c r="A350" s="2" t="s">
        <v>2452</v>
      </c>
      <c r="B350" s="3">
        <v>43803</v>
      </c>
      <c r="C350" s="2" t="s">
        <v>2453</v>
      </c>
      <c r="D350" t="s">
        <v>6148</v>
      </c>
      <c r="E350" s="2">
        <v>6</v>
      </c>
      <c r="F350" s="2" t="str">
        <f>_xlfn.XLOOKUP(orders!C350,customers!$A$2:$A$1001,customers!$B$2:$B$1001)</f>
        <v>Shelli Keynd</v>
      </c>
      <c r="G350" s="2" t="str">
        <f>IF(_xlfn.XLOOKUP(C350,customers!$A$2:$A$1001,customers!$C$2:$C$1001,,)=0,"",_xlfn.XLOOKUP(C350,customers!$A$2:$A$1001,customers!$C$2:$C$1001,,))</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cm="1">
        <f t="array" ref="N350">_xlfn.IFS(I350="Rob","Robusta",I350="Exc","Excelsa",I350="Ara","Arabica",I350="Lib","Liberica")</f>
        <v>Excelsa</v>
      </c>
      <c r="O350" t="str" cm="1">
        <f t="array" ref="O350">_xlfn.IFS(J350="M","Medium",J350="L","Light",J350="D","Dark")</f>
        <v>Light</v>
      </c>
      <c r="P350" t="str">
        <f>_xlfn.XLOOKUP(Orders[[#This Row],[Customer ID]],customers!$A$1:$A$1001,customers!$I$1:$I$1001,,0)</f>
        <v>No</v>
      </c>
    </row>
    <row r="351" spans="1:16" x14ac:dyDescent="0.25">
      <c r="A351" s="2" t="s">
        <v>2458</v>
      </c>
      <c r="B351" s="3">
        <v>44743</v>
      </c>
      <c r="C351" s="2" t="s">
        <v>2459</v>
      </c>
      <c r="D351" t="s">
        <v>6178</v>
      </c>
      <c r="E351" s="2">
        <v>4</v>
      </c>
      <c r="F351" s="2" t="str">
        <f>_xlfn.XLOOKUP(orders!C351,customers!$A$2:$A$1001,customers!$B$2:$B$1001)</f>
        <v>Dell Daveridge</v>
      </c>
      <c r="G351" s="2" t="str">
        <f>IF(_xlfn.XLOOKUP(C351,customers!$A$2:$A$1001,customers!$C$2:$C$1001,,)=0,"",_xlfn.XLOOKUP(C351,customers!$A$2:$A$1001,customers!$C$2:$C$1001,,))</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cm="1">
        <f t="array" ref="N351">_xlfn.IFS(I351="Rob","Robusta",I351="Exc","Excelsa",I351="Ara","Arabica",I351="Lib","Liberica")</f>
        <v>Robusta</v>
      </c>
      <c r="O351" t="str" cm="1">
        <f t="array" ref="O351">_xlfn.IFS(J351="M","Medium",J351="L","Light",J351="D","Dark")</f>
        <v>Light</v>
      </c>
      <c r="P351" t="str">
        <f>_xlfn.XLOOKUP(Orders[[#This Row],[Customer ID]],customers!$A$1:$A$1001,customers!$I$1:$I$1001,,0)</f>
        <v>No</v>
      </c>
    </row>
    <row r="352" spans="1:16" x14ac:dyDescent="0.25">
      <c r="A352" s="2" t="s">
        <v>2464</v>
      </c>
      <c r="B352" s="3">
        <v>43592</v>
      </c>
      <c r="C352" s="2" t="s">
        <v>2465</v>
      </c>
      <c r="D352" t="s">
        <v>6158</v>
      </c>
      <c r="E352" s="2">
        <v>4</v>
      </c>
      <c r="F352" s="2" t="str">
        <f>_xlfn.XLOOKUP(orders!C352,customers!$A$2:$A$1001,customers!$B$2:$B$1001)</f>
        <v>Joshuah Awdry</v>
      </c>
      <c r="G352" s="2" t="str">
        <f>IF(_xlfn.XLOOKUP(C352,customers!$A$2:$A$1001,customers!$C$2:$C$1001,,)=0,"",_xlfn.XLOOKUP(C352,customers!$A$2:$A$1001,customers!$C$2:$C$1001,,))</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cm="1">
        <f t="array" ref="N352">_xlfn.IFS(I352="Rob","Robusta",I352="Exc","Excelsa",I352="Ara","Arabica",I352="Lib","Liberica")</f>
        <v>Arabica</v>
      </c>
      <c r="O352" t="str" cm="1">
        <f t="array" ref="O352">_xlfn.IFS(J352="M","Medium",J352="L","Light",J352="D","Dark")</f>
        <v>Dark</v>
      </c>
      <c r="P352" t="str">
        <f>_xlfn.XLOOKUP(Orders[[#This Row],[Customer ID]],customers!$A$1:$A$1001,customers!$I$1:$I$1001,,0)</f>
        <v>No</v>
      </c>
    </row>
    <row r="353" spans="1:16" x14ac:dyDescent="0.25">
      <c r="A353" s="2" t="s">
        <v>2470</v>
      </c>
      <c r="B353" s="3">
        <v>44066</v>
      </c>
      <c r="C353" s="2" t="s">
        <v>2471</v>
      </c>
      <c r="D353" t="s">
        <v>6155</v>
      </c>
      <c r="E353" s="2">
        <v>2</v>
      </c>
      <c r="F353" s="2" t="str">
        <f>_xlfn.XLOOKUP(orders!C353,customers!$A$2:$A$1001,customers!$B$2:$B$1001)</f>
        <v>Ethel Ryles</v>
      </c>
      <c r="G353" s="2" t="str">
        <f>IF(_xlfn.XLOOKUP(C353,customers!$A$2:$A$1001,customers!$C$2:$C$1001,,)=0,"",_xlfn.XLOOKUP(C353,customers!$A$2:$A$1001,customers!$C$2:$C$1001,,))</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cm="1">
        <f t="array" ref="N353">_xlfn.IFS(I353="Rob","Robusta",I353="Exc","Excelsa",I353="Ara","Arabica",I353="Lib","Liberica")</f>
        <v>Arabica</v>
      </c>
      <c r="O353" t="str" cm="1">
        <f t="array" ref="O353">_xlfn.IFS(J353="M","Medium",J353="L","Light",J353="D","Dark")</f>
        <v>Medium</v>
      </c>
      <c r="P353" t="str">
        <f>_xlfn.XLOOKUP(Orders[[#This Row],[Customer ID]],customers!$A$1:$A$1001,customers!$I$1:$I$1001,,0)</f>
        <v>No</v>
      </c>
    </row>
    <row r="354" spans="1:16" x14ac:dyDescent="0.25">
      <c r="A354" s="2" t="s">
        <v>2476</v>
      </c>
      <c r="B354" s="3">
        <v>43984</v>
      </c>
      <c r="C354" s="2" t="s">
        <v>2331</v>
      </c>
      <c r="D354" t="s">
        <v>6144</v>
      </c>
      <c r="E354" s="2">
        <v>5</v>
      </c>
      <c r="F354" s="2" t="str">
        <f>_xlfn.XLOOKUP(orders!C354,customers!$A$2:$A$1001,customers!$B$2:$B$1001)</f>
        <v>Flynn Antony</v>
      </c>
      <c r="G354" s="2" t="str">
        <f>IF(_xlfn.XLOOKUP(C354,customers!$A$2:$A$1001,customers!$C$2:$C$1001,,)=0,"",_xlfn.XLOOKUP(C354,customers!$A$2:$A$1001,customers!$C$2:$C$1001,,))</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cm="1">
        <f t="array" ref="N354">_xlfn.IFS(I354="Rob","Robusta",I354="Exc","Excelsa",I354="Ara","Arabica",I354="Lib","Liberica")</f>
        <v>Excelsa</v>
      </c>
      <c r="O354" t="str" cm="1">
        <f t="array" ref="O354">_xlfn.IFS(J354="M","Medium",J354="L","Light",J354="D","Dark")</f>
        <v>Dark</v>
      </c>
      <c r="P354" t="str">
        <f>_xlfn.XLOOKUP(Orders[[#This Row],[Customer ID]],customers!$A$1:$A$1001,customers!$I$1:$I$1001,,0)</f>
        <v>No</v>
      </c>
    </row>
    <row r="355" spans="1:16" x14ac:dyDescent="0.25">
      <c r="A355" s="2" t="s">
        <v>2482</v>
      </c>
      <c r="B355" s="3">
        <v>43860</v>
      </c>
      <c r="C355" s="2" t="s">
        <v>2483</v>
      </c>
      <c r="D355" t="s">
        <v>6157</v>
      </c>
      <c r="E355" s="2">
        <v>4</v>
      </c>
      <c r="F355" s="2" t="str">
        <f>_xlfn.XLOOKUP(orders!C355,customers!$A$2:$A$1001,customers!$B$2:$B$1001)</f>
        <v>Maitilde Boxill</v>
      </c>
      <c r="G355" s="2" t="str">
        <f>IF(_xlfn.XLOOKUP(C355,customers!$A$2:$A$1001,customers!$C$2:$C$1001,,)=0,"",_xlfn.XLOOKUP(C355,customers!$A$2:$A$1001,customers!$C$2:$C$1001,,))</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cm="1">
        <f t="array" ref="N355">_xlfn.IFS(I355="Rob","Robusta",I355="Exc","Excelsa",I355="Ara","Arabica",I355="Lib","Liberica")</f>
        <v>Arabica</v>
      </c>
      <c r="O355" t="str" cm="1">
        <f t="array" ref="O355">_xlfn.IFS(J355="M","Medium",J355="L","Light",J355="D","Dark")</f>
        <v>Medium</v>
      </c>
      <c r="P355" t="str">
        <f>_xlfn.XLOOKUP(Orders[[#This Row],[Customer ID]],customers!$A$1:$A$1001,customers!$I$1:$I$1001,,0)</f>
        <v>Yes</v>
      </c>
    </row>
    <row r="356" spans="1:16" x14ac:dyDescent="0.25">
      <c r="A356" s="2" t="s">
        <v>2487</v>
      </c>
      <c r="B356" s="3">
        <v>43876</v>
      </c>
      <c r="C356" s="2" t="s">
        <v>2488</v>
      </c>
      <c r="D356" t="s">
        <v>6175</v>
      </c>
      <c r="E356" s="2">
        <v>6</v>
      </c>
      <c r="F356" s="2" t="str">
        <f>_xlfn.XLOOKUP(orders!C356,customers!$A$2:$A$1001,customers!$B$2:$B$1001)</f>
        <v>Jodee Caldicott</v>
      </c>
      <c r="G356" s="2" t="str">
        <f>IF(_xlfn.XLOOKUP(C356,customers!$A$2:$A$1001,customers!$C$2:$C$1001,,)=0,"",_xlfn.XLOOKUP(C356,customers!$A$2:$A$1001,customers!$C$2:$C$1001,,))</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cm="1">
        <f t="array" ref="N356">_xlfn.IFS(I356="Rob","Robusta",I356="Exc","Excelsa",I356="Ara","Arabica",I356="Lib","Liberica")</f>
        <v>Arabica</v>
      </c>
      <c r="O356" t="str" cm="1">
        <f t="array" ref="O356">_xlfn.IFS(J356="M","Medium",J356="L","Light",J356="D","Dark")</f>
        <v>Medium</v>
      </c>
      <c r="P356" t="str">
        <f>_xlfn.XLOOKUP(Orders[[#This Row],[Customer ID]],customers!$A$1:$A$1001,customers!$I$1:$I$1001,,0)</f>
        <v>No</v>
      </c>
    </row>
    <row r="357" spans="1:16" x14ac:dyDescent="0.25">
      <c r="A357" s="2" t="s">
        <v>2492</v>
      </c>
      <c r="B357" s="3">
        <v>44358</v>
      </c>
      <c r="C357" s="2" t="s">
        <v>2493</v>
      </c>
      <c r="D357" t="s">
        <v>6168</v>
      </c>
      <c r="E357" s="2">
        <v>5</v>
      </c>
      <c r="F357" s="2" t="str">
        <f>_xlfn.XLOOKUP(orders!C357,customers!$A$2:$A$1001,customers!$B$2:$B$1001)</f>
        <v>Marianna Vedmore</v>
      </c>
      <c r="G357" s="2" t="str">
        <f>IF(_xlfn.XLOOKUP(C357,customers!$A$2:$A$1001,customers!$C$2:$C$1001,,)=0,"",_xlfn.XLOOKUP(C357,customers!$A$2:$A$1001,customers!$C$2:$C$1001,,))</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cm="1">
        <f t="array" ref="N357">_xlfn.IFS(I357="Rob","Robusta",I357="Exc","Excelsa",I357="Ara","Arabica",I357="Lib","Liberica")</f>
        <v>Arabica</v>
      </c>
      <c r="O357" t="str" cm="1">
        <f t="array" ref="O357">_xlfn.IFS(J357="M","Medium",J357="L","Light",J357="D","Dark")</f>
        <v>Dark</v>
      </c>
      <c r="P357" t="str">
        <f>_xlfn.XLOOKUP(Orders[[#This Row],[Customer ID]],customers!$A$1:$A$1001,customers!$I$1:$I$1001,,0)</f>
        <v>Yes</v>
      </c>
    </row>
    <row r="358" spans="1:16" x14ac:dyDescent="0.25">
      <c r="A358" s="2" t="s">
        <v>2498</v>
      </c>
      <c r="B358" s="3">
        <v>44631</v>
      </c>
      <c r="C358" s="2" t="s">
        <v>2499</v>
      </c>
      <c r="D358" t="s">
        <v>6143</v>
      </c>
      <c r="E358" s="2">
        <v>4</v>
      </c>
      <c r="F358" s="2" t="str">
        <f>_xlfn.XLOOKUP(orders!C358,customers!$A$2:$A$1001,customers!$B$2:$B$1001)</f>
        <v>Willey Romao</v>
      </c>
      <c r="G358" s="2" t="str">
        <f>IF(_xlfn.XLOOKUP(C358,customers!$A$2:$A$1001,customers!$C$2:$C$1001,,)=0,"",_xlfn.XLOOKUP(C358,customers!$A$2:$A$1001,customers!$C$2:$C$1001,,))</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cm="1">
        <f t="array" ref="N358">_xlfn.IFS(I358="Rob","Robusta",I358="Exc","Excelsa",I358="Ara","Arabica",I358="Lib","Liberica")</f>
        <v>Liberica</v>
      </c>
      <c r="O358" t="str" cm="1">
        <f t="array" ref="O358">_xlfn.IFS(J358="M","Medium",J358="L","Light",J358="D","Dark")</f>
        <v>Dark</v>
      </c>
      <c r="P358" t="str">
        <f>_xlfn.XLOOKUP(Orders[[#This Row],[Customer ID]],customers!$A$1:$A$1001,customers!$I$1:$I$1001,,0)</f>
        <v>Yes</v>
      </c>
    </row>
    <row r="359" spans="1:16" x14ac:dyDescent="0.25">
      <c r="A359" s="2" t="s">
        <v>2504</v>
      </c>
      <c r="B359" s="3">
        <v>44448</v>
      </c>
      <c r="C359" s="2" t="s">
        <v>2505</v>
      </c>
      <c r="D359" t="s">
        <v>6175</v>
      </c>
      <c r="E359" s="2">
        <v>6</v>
      </c>
      <c r="F359" s="2" t="str">
        <f>_xlfn.XLOOKUP(orders!C359,customers!$A$2:$A$1001,customers!$B$2:$B$1001)</f>
        <v>Enriqueta Ixor</v>
      </c>
      <c r="G359" s="2" t="str">
        <f>IF(_xlfn.XLOOKUP(C359,customers!$A$2:$A$1001,customers!$C$2:$C$1001,,)=0,"",_xlfn.XLOOKUP(C359,customers!$A$2:$A$1001,customers!$C$2:$C$1001,,))</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cm="1">
        <f t="array" ref="N359">_xlfn.IFS(I359="Rob","Robusta",I359="Exc","Excelsa",I359="Ara","Arabica",I359="Lib","Liberica")</f>
        <v>Arabica</v>
      </c>
      <c r="O359" t="str" cm="1">
        <f t="array" ref="O359">_xlfn.IFS(J359="M","Medium",J359="L","Light",J359="D","Dark")</f>
        <v>Medium</v>
      </c>
      <c r="P359" t="str">
        <f>_xlfn.XLOOKUP(Orders[[#This Row],[Customer ID]],customers!$A$1:$A$1001,customers!$I$1:$I$1001,,0)</f>
        <v>No</v>
      </c>
    </row>
    <row r="360" spans="1:16" x14ac:dyDescent="0.25">
      <c r="A360" s="2" t="s">
        <v>2509</v>
      </c>
      <c r="B360" s="3">
        <v>43599</v>
      </c>
      <c r="C360" s="2" t="s">
        <v>2510</v>
      </c>
      <c r="D360" t="s">
        <v>6182</v>
      </c>
      <c r="E360" s="2">
        <v>1</v>
      </c>
      <c r="F360" s="2" t="str">
        <f>_xlfn.XLOOKUP(orders!C360,customers!$A$2:$A$1001,customers!$B$2:$B$1001)</f>
        <v>Tomasina Cotmore</v>
      </c>
      <c r="G360" s="2" t="str">
        <f>IF(_xlfn.XLOOKUP(C360,customers!$A$2:$A$1001,customers!$C$2:$C$1001,,)=0,"",_xlfn.XLOOKUP(C360,customers!$A$2:$A$1001,customers!$C$2:$C$1001,,))</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cm="1">
        <f t="array" ref="N360">_xlfn.IFS(I360="Rob","Robusta",I360="Exc","Excelsa",I360="Ara","Arabica",I360="Lib","Liberica")</f>
        <v>Arabica</v>
      </c>
      <c r="O360" t="str" cm="1">
        <f t="array" ref="O360">_xlfn.IFS(J360="M","Medium",J360="L","Light",J360="D","Dark")</f>
        <v>Light</v>
      </c>
      <c r="P360" t="str">
        <f>_xlfn.XLOOKUP(Orders[[#This Row],[Customer ID]],customers!$A$1:$A$1001,customers!$I$1:$I$1001,,0)</f>
        <v>No</v>
      </c>
    </row>
    <row r="361" spans="1:16" x14ac:dyDescent="0.25">
      <c r="A361" s="2" t="s">
        <v>2515</v>
      </c>
      <c r="B361" s="3">
        <v>43563</v>
      </c>
      <c r="C361" s="2" t="s">
        <v>2516</v>
      </c>
      <c r="D361" t="s">
        <v>6178</v>
      </c>
      <c r="E361" s="2">
        <v>6</v>
      </c>
      <c r="F361" s="2" t="str">
        <f>_xlfn.XLOOKUP(orders!C361,customers!$A$2:$A$1001,customers!$B$2:$B$1001)</f>
        <v>Yuma Skipsey</v>
      </c>
      <c r="G361" s="2" t="str">
        <f>IF(_xlfn.XLOOKUP(C361,customers!$A$2:$A$1001,customers!$C$2:$C$1001,,)=0,"",_xlfn.XLOOKUP(C361,customers!$A$2:$A$1001,customers!$C$2:$C$1001,,))</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cm="1">
        <f t="array" ref="N361">_xlfn.IFS(I361="Rob","Robusta",I361="Exc","Excelsa",I361="Ara","Arabica",I361="Lib","Liberica")</f>
        <v>Robusta</v>
      </c>
      <c r="O361" t="str" cm="1">
        <f t="array" ref="O361">_xlfn.IFS(J361="M","Medium",J361="L","Light",J361="D","Dark")</f>
        <v>Light</v>
      </c>
      <c r="P361" t="str">
        <f>_xlfn.XLOOKUP(Orders[[#This Row],[Customer ID]],customers!$A$1:$A$1001,customers!$I$1:$I$1001,,0)</f>
        <v>No</v>
      </c>
    </row>
    <row r="362" spans="1:16" x14ac:dyDescent="0.25">
      <c r="A362" s="2" t="s">
        <v>2521</v>
      </c>
      <c r="B362" s="3">
        <v>44058</v>
      </c>
      <c r="C362" s="2" t="s">
        <v>2522</v>
      </c>
      <c r="D362" t="s">
        <v>6149</v>
      </c>
      <c r="E362" s="2">
        <v>2</v>
      </c>
      <c r="F362" s="2" t="str">
        <f>_xlfn.XLOOKUP(orders!C362,customers!$A$2:$A$1001,customers!$B$2:$B$1001)</f>
        <v>Nicko Corps</v>
      </c>
      <c r="G362" s="2" t="str">
        <f>IF(_xlfn.XLOOKUP(C362,customers!$A$2:$A$1001,customers!$C$2:$C$1001,,)=0,"",_xlfn.XLOOKUP(C362,customers!$A$2:$A$1001,customers!$C$2:$C$1001,,))</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cm="1">
        <f t="array" ref="N362">_xlfn.IFS(I362="Rob","Robusta",I362="Exc","Excelsa",I362="Ara","Arabica",I362="Lib","Liberica")</f>
        <v>Robusta</v>
      </c>
      <c r="O362" t="str" cm="1">
        <f t="array" ref="O362">_xlfn.IFS(J362="M","Medium",J362="L","Light",J362="D","Dark")</f>
        <v>Dark</v>
      </c>
      <c r="P362" t="str">
        <f>_xlfn.XLOOKUP(Orders[[#This Row],[Customer ID]],customers!$A$1:$A$1001,customers!$I$1:$I$1001,,0)</f>
        <v>No</v>
      </c>
    </row>
    <row r="363" spans="1:16" x14ac:dyDescent="0.25">
      <c r="A363" s="2" t="s">
        <v>2521</v>
      </c>
      <c r="B363" s="3">
        <v>44058</v>
      </c>
      <c r="C363" s="2" t="s">
        <v>2522</v>
      </c>
      <c r="D363" t="s">
        <v>6146</v>
      </c>
      <c r="E363" s="2">
        <v>1</v>
      </c>
      <c r="F363" s="2" t="str">
        <f>_xlfn.XLOOKUP(orders!C363,customers!$A$2:$A$1001,customers!$B$2:$B$1001)</f>
        <v>Nicko Corps</v>
      </c>
      <c r="G363" s="2" t="str">
        <f>IF(_xlfn.XLOOKUP(C363,customers!$A$2:$A$1001,customers!$C$2:$C$1001,,)=0,"",_xlfn.XLOOKUP(C363,customers!$A$2:$A$1001,customers!$C$2:$C$1001,,))</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cm="1">
        <f t="array" ref="N363">_xlfn.IFS(I363="Rob","Robusta",I363="Exc","Excelsa",I363="Ara","Arabica",I363="Lib","Liberica")</f>
        <v>Robusta</v>
      </c>
      <c r="O363" t="str" cm="1">
        <f t="array" ref="O363">_xlfn.IFS(J363="M","Medium",J363="L","Light",J363="D","Dark")</f>
        <v>Medium</v>
      </c>
      <c r="P363" t="str">
        <f>_xlfn.XLOOKUP(Orders[[#This Row],[Customer ID]],customers!$A$1:$A$1001,customers!$I$1:$I$1001,,0)</f>
        <v>No</v>
      </c>
    </row>
    <row r="364" spans="1:16" x14ac:dyDescent="0.25">
      <c r="A364" s="2" t="s">
        <v>2532</v>
      </c>
      <c r="B364" s="3">
        <v>44686</v>
      </c>
      <c r="C364" s="2" t="s">
        <v>2533</v>
      </c>
      <c r="D364" t="s">
        <v>6171</v>
      </c>
      <c r="E364" s="2">
        <v>5</v>
      </c>
      <c r="F364" s="2" t="str">
        <f>_xlfn.XLOOKUP(orders!C364,customers!$A$2:$A$1001,customers!$B$2:$B$1001)</f>
        <v>Feliks Babber</v>
      </c>
      <c r="G364" s="2" t="str">
        <f>IF(_xlfn.XLOOKUP(C364,customers!$A$2:$A$1001,customers!$C$2:$C$1001,,)=0,"",_xlfn.XLOOKUP(C364,customers!$A$2:$A$1001,customers!$C$2:$C$1001,,))</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cm="1">
        <f t="array" ref="N364">_xlfn.IFS(I364="Rob","Robusta",I364="Exc","Excelsa",I364="Ara","Arabica",I364="Lib","Liberica")</f>
        <v>Excelsa</v>
      </c>
      <c r="O364" t="str" cm="1">
        <f t="array" ref="O364">_xlfn.IFS(J364="M","Medium",J364="L","Light",J364="D","Dark")</f>
        <v>Light</v>
      </c>
      <c r="P364" t="str">
        <f>_xlfn.XLOOKUP(Orders[[#This Row],[Customer ID]],customers!$A$1:$A$1001,customers!$I$1:$I$1001,,0)</f>
        <v>Yes</v>
      </c>
    </row>
    <row r="365" spans="1:16" x14ac:dyDescent="0.25">
      <c r="A365" s="2" t="s">
        <v>2538</v>
      </c>
      <c r="B365" s="3">
        <v>44282</v>
      </c>
      <c r="C365" s="2" t="s">
        <v>2539</v>
      </c>
      <c r="D365" t="s">
        <v>6162</v>
      </c>
      <c r="E365" s="2">
        <v>6</v>
      </c>
      <c r="F365" s="2" t="str">
        <f>_xlfn.XLOOKUP(orders!C365,customers!$A$2:$A$1001,customers!$B$2:$B$1001)</f>
        <v>Kaja Loxton</v>
      </c>
      <c r="G365" s="2" t="str">
        <f>IF(_xlfn.XLOOKUP(C365,customers!$A$2:$A$1001,customers!$C$2:$C$1001,,)=0,"",_xlfn.XLOOKUP(C365,customers!$A$2:$A$1001,customers!$C$2:$C$1001,,))</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cm="1">
        <f t="array" ref="N365">_xlfn.IFS(I365="Rob","Robusta",I365="Exc","Excelsa",I365="Ara","Arabica",I365="Lib","Liberica")</f>
        <v>Liberica</v>
      </c>
      <c r="O365" t="str" cm="1">
        <f t="array" ref="O365">_xlfn.IFS(J365="M","Medium",J365="L","Light",J365="D","Dark")</f>
        <v>Medium</v>
      </c>
      <c r="P365" t="str">
        <f>_xlfn.XLOOKUP(Orders[[#This Row],[Customer ID]],customers!$A$1:$A$1001,customers!$I$1:$I$1001,,0)</f>
        <v>No</v>
      </c>
    </row>
    <row r="366" spans="1:16" x14ac:dyDescent="0.25">
      <c r="A366" s="2" t="s">
        <v>2543</v>
      </c>
      <c r="B366" s="3">
        <v>43582</v>
      </c>
      <c r="C366" s="2" t="s">
        <v>2544</v>
      </c>
      <c r="D366" t="s">
        <v>6183</v>
      </c>
      <c r="E366" s="2">
        <v>6</v>
      </c>
      <c r="F366" s="2" t="str">
        <f>_xlfn.XLOOKUP(orders!C366,customers!$A$2:$A$1001,customers!$B$2:$B$1001)</f>
        <v>Parker Tofful</v>
      </c>
      <c r="G366" s="2" t="str">
        <f>IF(_xlfn.XLOOKUP(C366,customers!$A$2:$A$1001,customers!$C$2:$C$1001,,)=0,"",_xlfn.XLOOKUP(C366,customers!$A$2:$A$1001,customers!$C$2:$C$1001,,))</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cm="1">
        <f t="array" ref="N366">_xlfn.IFS(I366="Rob","Robusta",I366="Exc","Excelsa",I366="Ara","Arabica",I366="Lib","Liberica")</f>
        <v>Excelsa</v>
      </c>
      <c r="O366" t="str" cm="1">
        <f t="array" ref="O366">_xlfn.IFS(J366="M","Medium",J366="L","Light",J366="D","Dark")</f>
        <v>Dark</v>
      </c>
      <c r="P366" t="str">
        <f>_xlfn.XLOOKUP(Orders[[#This Row],[Customer ID]],customers!$A$1:$A$1001,customers!$I$1:$I$1001,,0)</f>
        <v>Yes</v>
      </c>
    </row>
    <row r="367" spans="1:16" x14ac:dyDescent="0.25">
      <c r="A367" s="2" t="s">
        <v>2549</v>
      </c>
      <c r="B367" s="3">
        <v>44464</v>
      </c>
      <c r="C367" s="2" t="s">
        <v>2550</v>
      </c>
      <c r="D367" t="s">
        <v>6169</v>
      </c>
      <c r="E367" s="2">
        <v>1</v>
      </c>
      <c r="F367" s="2" t="str">
        <f>_xlfn.XLOOKUP(orders!C367,customers!$A$2:$A$1001,customers!$B$2:$B$1001)</f>
        <v>Casi Gwinnett</v>
      </c>
      <c r="G367" s="2" t="str">
        <f>IF(_xlfn.XLOOKUP(C367,customers!$A$2:$A$1001,customers!$C$2:$C$1001,,)=0,"",_xlfn.XLOOKUP(C367,customers!$A$2:$A$1001,customers!$C$2:$C$1001,,))</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cm="1">
        <f t="array" ref="N367">_xlfn.IFS(I367="Rob","Robusta",I367="Exc","Excelsa",I367="Ara","Arabica",I367="Lib","Liberica")</f>
        <v>Liberica</v>
      </c>
      <c r="O367" t="str" cm="1">
        <f t="array" ref="O367">_xlfn.IFS(J367="M","Medium",J367="L","Light",J367="D","Dark")</f>
        <v>Dark</v>
      </c>
      <c r="P367" t="str">
        <f>_xlfn.XLOOKUP(Orders[[#This Row],[Customer ID]],customers!$A$1:$A$1001,customers!$I$1:$I$1001,,0)</f>
        <v>No</v>
      </c>
    </row>
    <row r="368" spans="1:16" x14ac:dyDescent="0.25">
      <c r="A368" s="2" t="s">
        <v>2554</v>
      </c>
      <c r="B368" s="3">
        <v>43874</v>
      </c>
      <c r="C368" s="2" t="s">
        <v>2555</v>
      </c>
      <c r="D368" t="s">
        <v>6144</v>
      </c>
      <c r="E368" s="2">
        <v>6</v>
      </c>
      <c r="F368" s="2" t="str">
        <f>_xlfn.XLOOKUP(orders!C368,customers!$A$2:$A$1001,customers!$B$2:$B$1001)</f>
        <v>Saree Ellesworth</v>
      </c>
      <c r="G368" s="2" t="str">
        <f>IF(_xlfn.XLOOKUP(C368,customers!$A$2:$A$1001,customers!$C$2:$C$1001,,)=0,"",_xlfn.XLOOKUP(C368,customers!$A$2:$A$1001,customers!$C$2:$C$1001,,))</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cm="1">
        <f t="array" ref="N368">_xlfn.IFS(I368="Rob","Robusta",I368="Exc","Excelsa",I368="Ara","Arabica",I368="Lib","Liberica")</f>
        <v>Excelsa</v>
      </c>
      <c r="O368" t="str" cm="1">
        <f t="array" ref="O368">_xlfn.IFS(J368="M","Medium",J368="L","Light",J368="D","Dark")</f>
        <v>Dark</v>
      </c>
      <c r="P368" t="str">
        <f>_xlfn.XLOOKUP(Orders[[#This Row],[Customer ID]],customers!$A$1:$A$1001,customers!$I$1:$I$1001,,0)</f>
        <v>No</v>
      </c>
    </row>
    <row r="369" spans="1:16" x14ac:dyDescent="0.25">
      <c r="A369" s="2" t="s">
        <v>2559</v>
      </c>
      <c r="B369" s="3">
        <v>44393</v>
      </c>
      <c r="C369" s="2" t="s">
        <v>2560</v>
      </c>
      <c r="D369" t="s">
        <v>6159</v>
      </c>
      <c r="E369" s="2">
        <v>2</v>
      </c>
      <c r="F369" s="2" t="str">
        <f>_xlfn.XLOOKUP(orders!C369,customers!$A$2:$A$1001,customers!$B$2:$B$1001)</f>
        <v>Silvio Iorizzi</v>
      </c>
      <c r="G369" s="2" t="str">
        <f>IF(_xlfn.XLOOKUP(C369,customers!$A$2:$A$1001,customers!$C$2:$C$1001,,)=0,"",_xlfn.XLOOKUP(C369,customers!$A$2:$A$1001,customers!$C$2:$C$1001,,))</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cm="1">
        <f t="array" ref="N369">_xlfn.IFS(I369="Rob","Robusta",I369="Exc","Excelsa",I369="Ara","Arabica",I369="Lib","Liberica")</f>
        <v>Liberica</v>
      </c>
      <c r="O369" t="str" cm="1">
        <f t="array" ref="O369">_xlfn.IFS(J369="M","Medium",J369="L","Light",J369="D","Dark")</f>
        <v>Medium</v>
      </c>
      <c r="P369" t="str">
        <f>_xlfn.XLOOKUP(Orders[[#This Row],[Customer ID]],customers!$A$1:$A$1001,customers!$I$1:$I$1001,,0)</f>
        <v>Yes</v>
      </c>
    </row>
    <row r="370" spans="1:16" x14ac:dyDescent="0.25">
      <c r="A370" s="2" t="s">
        <v>2563</v>
      </c>
      <c r="B370" s="3">
        <v>44692</v>
      </c>
      <c r="C370" s="2" t="s">
        <v>2564</v>
      </c>
      <c r="D370" t="s">
        <v>6166</v>
      </c>
      <c r="E370" s="2">
        <v>2</v>
      </c>
      <c r="F370" s="2" t="str">
        <f>_xlfn.XLOOKUP(orders!C370,customers!$A$2:$A$1001,customers!$B$2:$B$1001)</f>
        <v>Leesa Flaonier</v>
      </c>
      <c r="G370" s="2" t="str">
        <f>IF(_xlfn.XLOOKUP(C370,customers!$A$2:$A$1001,customers!$C$2:$C$1001,,)=0,"",_xlfn.XLOOKUP(C370,customers!$A$2:$A$1001,customers!$C$2:$C$1001,,))</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cm="1">
        <f t="array" ref="N370">_xlfn.IFS(I370="Rob","Robusta",I370="Exc","Excelsa",I370="Ara","Arabica",I370="Lib","Liberica")</f>
        <v>Excelsa</v>
      </c>
      <c r="O370" t="str" cm="1">
        <f t="array" ref="O370">_xlfn.IFS(J370="M","Medium",J370="L","Light",J370="D","Dark")</f>
        <v>Medium</v>
      </c>
      <c r="P370" t="str">
        <f>_xlfn.XLOOKUP(Orders[[#This Row],[Customer ID]],customers!$A$1:$A$1001,customers!$I$1:$I$1001,,0)</f>
        <v>No</v>
      </c>
    </row>
    <row r="371" spans="1:16" x14ac:dyDescent="0.25">
      <c r="A371" s="2" t="s">
        <v>2569</v>
      </c>
      <c r="B371" s="3">
        <v>43500</v>
      </c>
      <c r="C371" s="2" t="s">
        <v>2570</v>
      </c>
      <c r="D371" t="s">
        <v>6176</v>
      </c>
      <c r="E371" s="2">
        <v>1</v>
      </c>
      <c r="F371" s="2" t="str">
        <f>_xlfn.XLOOKUP(orders!C371,customers!$A$2:$A$1001,customers!$B$2:$B$1001)</f>
        <v>Abba Pummell</v>
      </c>
      <c r="G371" s="2" t="str">
        <f>IF(_xlfn.XLOOKUP(C371,customers!$A$2:$A$1001,customers!$C$2:$C$1001,,)=0,"",_xlfn.XLOOKUP(C371,customers!$A$2:$A$1001,customers!$C$2:$C$1001,,))</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cm="1">
        <f t="array" ref="N371">_xlfn.IFS(I371="Rob","Robusta",I371="Exc","Excelsa",I371="Ara","Arabica",I371="Lib","Liberica")</f>
        <v>Excelsa</v>
      </c>
      <c r="O371" t="str" cm="1">
        <f t="array" ref="O371">_xlfn.IFS(J371="M","Medium",J371="L","Light",J371="D","Dark")</f>
        <v>Light</v>
      </c>
      <c r="P371" t="str">
        <f>_xlfn.XLOOKUP(Orders[[#This Row],[Customer ID]],customers!$A$1:$A$1001,customers!$I$1:$I$1001,,0)</f>
        <v>Yes</v>
      </c>
    </row>
    <row r="372" spans="1:16" x14ac:dyDescent="0.25">
      <c r="A372" s="2" t="s">
        <v>2573</v>
      </c>
      <c r="B372" s="3">
        <v>43501</v>
      </c>
      <c r="C372" s="2" t="s">
        <v>2574</v>
      </c>
      <c r="D372" t="s">
        <v>6183</v>
      </c>
      <c r="E372" s="2">
        <v>2</v>
      </c>
      <c r="F372" s="2" t="str">
        <f>_xlfn.XLOOKUP(orders!C372,customers!$A$2:$A$1001,customers!$B$2:$B$1001)</f>
        <v>Corinna Catcheside</v>
      </c>
      <c r="G372" s="2" t="str">
        <f>IF(_xlfn.XLOOKUP(C372,customers!$A$2:$A$1001,customers!$C$2:$C$1001,,)=0,"",_xlfn.XLOOKUP(C372,customers!$A$2:$A$1001,customers!$C$2:$C$1001,,))</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cm="1">
        <f t="array" ref="N372">_xlfn.IFS(I372="Rob","Robusta",I372="Exc","Excelsa",I372="Ara","Arabica",I372="Lib","Liberica")</f>
        <v>Excelsa</v>
      </c>
      <c r="O372" t="str" cm="1">
        <f t="array" ref="O372">_xlfn.IFS(J372="M","Medium",J372="L","Light",J372="D","Dark")</f>
        <v>Dark</v>
      </c>
      <c r="P372" t="str">
        <f>_xlfn.XLOOKUP(Orders[[#This Row],[Customer ID]],customers!$A$1:$A$1001,customers!$I$1:$I$1001,,0)</f>
        <v>Yes</v>
      </c>
    </row>
    <row r="373" spans="1:16" x14ac:dyDescent="0.25">
      <c r="A373" s="2" t="s">
        <v>2579</v>
      </c>
      <c r="B373" s="3">
        <v>44705</v>
      </c>
      <c r="C373" s="2" t="s">
        <v>2580</v>
      </c>
      <c r="D373" t="s">
        <v>6180</v>
      </c>
      <c r="E373" s="2">
        <v>6</v>
      </c>
      <c r="F373" s="2" t="str">
        <f>_xlfn.XLOOKUP(orders!C373,customers!$A$2:$A$1001,customers!$B$2:$B$1001)</f>
        <v>Cortney Gibbonson</v>
      </c>
      <c r="G373" s="2" t="str">
        <f>IF(_xlfn.XLOOKUP(C373,customers!$A$2:$A$1001,customers!$C$2:$C$1001,,)=0,"",_xlfn.XLOOKUP(C373,customers!$A$2:$A$1001,customers!$C$2:$C$1001,,))</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cm="1">
        <f t="array" ref="N373">_xlfn.IFS(I373="Rob","Robusta",I373="Exc","Excelsa",I373="Ara","Arabica",I373="Lib","Liberica")</f>
        <v>Arabica</v>
      </c>
      <c r="O373" t="str" cm="1">
        <f t="array" ref="O373">_xlfn.IFS(J373="M","Medium",J373="L","Light",J373="D","Dark")</f>
        <v>Light</v>
      </c>
      <c r="P373" t="str">
        <f>_xlfn.XLOOKUP(Orders[[#This Row],[Customer ID]],customers!$A$1:$A$1001,customers!$I$1:$I$1001,,0)</f>
        <v>Yes</v>
      </c>
    </row>
    <row r="374" spans="1:16" x14ac:dyDescent="0.25">
      <c r="A374" s="2" t="s">
        <v>2585</v>
      </c>
      <c r="B374" s="3">
        <v>44108</v>
      </c>
      <c r="C374" s="2" t="s">
        <v>2586</v>
      </c>
      <c r="D374" t="s">
        <v>6173</v>
      </c>
      <c r="E374" s="2">
        <v>6</v>
      </c>
      <c r="F374" s="2" t="str">
        <f>_xlfn.XLOOKUP(orders!C374,customers!$A$2:$A$1001,customers!$B$2:$B$1001)</f>
        <v>Terri Farra</v>
      </c>
      <c r="G374" s="2" t="str">
        <f>IF(_xlfn.XLOOKUP(C374,customers!$A$2:$A$1001,customers!$C$2:$C$1001,,)=0,"",_xlfn.XLOOKUP(C374,customers!$A$2:$A$1001,customers!$C$2:$C$1001,,))</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cm="1">
        <f t="array" ref="N374">_xlfn.IFS(I374="Rob","Robusta",I374="Exc","Excelsa",I374="Ara","Arabica",I374="Lib","Liberica")</f>
        <v>Robusta</v>
      </c>
      <c r="O374" t="str" cm="1">
        <f t="array" ref="O374">_xlfn.IFS(J374="M","Medium",J374="L","Light",J374="D","Dark")</f>
        <v>Light</v>
      </c>
      <c r="P374" t="str">
        <f>_xlfn.XLOOKUP(Orders[[#This Row],[Customer ID]],customers!$A$1:$A$1001,customers!$I$1:$I$1001,,0)</f>
        <v>No</v>
      </c>
    </row>
    <row r="375" spans="1:16" x14ac:dyDescent="0.25">
      <c r="A375" s="2" t="s">
        <v>2591</v>
      </c>
      <c r="B375" s="3">
        <v>44742</v>
      </c>
      <c r="C375" s="2" t="s">
        <v>2592</v>
      </c>
      <c r="D375" t="s">
        <v>6158</v>
      </c>
      <c r="E375" s="2">
        <v>3</v>
      </c>
      <c r="F375" s="2" t="str">
        <f>_xlfn.XLOOKUP(orders!C375,customers!$A$2:$A$1001,customers!$B$2:$B$1001)</f>
        <v>Corney Curme</v>
      </c>
      <c r="G375" s="2" t="str">
        <f>IF(_xlfn.XLOOKUP(C375,customers!$A$2:$A$1001,customers!$C$2:$C$1001,,)=0,"",_xlfn.XLOOKUP(C375,customers!$A$2:$A$1001,customers!$C$2:$C$1001,,))</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cm="1">
        <f t="array" ref="N375">_xlfn.IFS(I375="Rob","Robusta",I375="Exc","Excelsa",I375="Ara","Arabica",I375="Lib","Liberica")</f>
        <v>Arabica</v>
      </c>
      <c r="O375" t="str" cm="1">
        <f t="array" ref="O375">_xlfn.IFS(J375="M","Medium",J375="L","Light",J375="D","Dark")</f>
        <v>Dark</v>
      </c>
      <c r="P375" t="str">
        <f>_xlfn.XLOOKUP(Orders[[#This Row],[Customer ID]],customers!$A$1:$A$1001,customers!$I$1:$I$1001,,0)</f>
        <v>Yes</v>
      </c>
    </row>
    <row r="376" spans="1:16" x14ac:dyDescent="0.25">
      <c r="A376" s="2" t="s">
        <v>2597</v>
      </c>
      <c r="B376" s="3">
        <v>44125</v>
      </c>
      <c r="C376" s="2" t="s">
        <v>2598</v>
      </c>
      <c r="D376" t="s">
        <v>6161</v>
      </c>
      <c r="E376" s="2">
        <v>4</v>
      </c>
      <c r="F376" s="2" t="str">
        <f>_xlfn.XLOOKUP(orders!C376,customers!$A$2:$A$1001,customers!$B$2:$B$1001)</f>
        <v>Gothart Bamfield</v>
      </c>
      <c r="G376" s="2" t="str">
        <f>IF(_xlfn.XLOOKUP(C376,customers!$A$2:$A$1001,customers!$C$2:$C$1001,,)=0,"",_xlfn.XLOOKUP(C376,customers!$A$2:$A$1001,customers!$C$2:$C$1001,,))</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cm="1">
        <f t="array" ref="N376">_xlfn.IFS(I376="Rob","Robusta",I376="Exc","Excelsa",I376="Ara","Arabica",I376="Lib","Liberica")</f>
        <v>Liberica</v>
      </c>
      <c r="O376" t="str" cm="1">
        <f t="array" ref="O376">_xlfn.IFS(J376="M","Medium",J376="L","Light",J376="D","Dark")</f>
        <v>Light</v>
      </c>
      <c r="P376" t="str">
        <f>_xlfn.XLOOKUP(Orders[[#This Row],[Customer ID]],customers!$A$1:$A$1001,customers!$I$1:$I$1001,,0)</f>
        <v>Yes</v>
      </c>
    </row>
    <row r="377" spans="1:16" x14ac:dyDescent="0.25">
      <c r="A377" s="2" t="s">
        <v>2603</v>
      </c>
      <c r="B377" s="3">
        <v>44120</v>
      </c>
      <c r="C377" s="2" t="s">
        <v>2604</v>
      </c>
      <c r="D377" t="s">
        <v>6152</v>
      </c>
      <c r="E377" s="2">
        <v>2</v>
      </c>
      <c r="F377" s="2" t="str">
        <f>_xlfn.XLOOKUP(orders!C377,customers!$A$2:$A$1001,customers!$B$2:$B$1001)</f>
        <v>Waylin Hollingdale</v>
      </c>
      <c r="G377" s="2" t="str">
        <f>IF(_xlfn.XLOOKUP(C377,customers!$A$2:$A$1001,customers!$C$2:$C$1001,,)=0,"",_xlfn.XLOOKUP(C377,customers!$A$2:$A$1001,customers!$C$2:$C$1001,,))</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cm="1">
        <f t="array" ref="N377">_xlfn.IFS(I377="Rob","Robusta",I377="Exc","Excelsa",I377="Ara","Arabica",I377="Lib","Liberica")</f>
        <v>Arabica</v>
      </c>
      <c r="O377" t="str" cm="1">
        <f t="array" ref="O377">_xlfn.IFS(J377="M","Medium",J377="L","Light",J377="D","Dark")</f>
        <v>Medium</v>
      </c>
      <c r="P377" t="str">
        <f>_xlfn.XLOOKUP(Orders[[#This Row],[Customer ID]],customers!$A$1:$A$1001,customers!$I$1:$I$1001,,0)</f>
        <v>Yes</v>
      </c>
    </row>
    <row r="378" spans="1:16" x14ac:dyDescent="0.25">
      <c r="A378" s="2" t="s">
        <v>2609</v>
      </c>
      <c r="B378" s="3">
        <v>44097</v>
      </c>
      <c r="C378" s="2" t="s">
        <v>2610</v>
      </c>
      <c r="D378" t="s">
        <v>6146</v>
      </c>
      <c r="E378" s="2">
        <v>1</v>
      </c>
      <c r="F378" s="2" t="str">
        <f>_xlfn.XLOOKUP(orders!C378,customers!$A$2:$A$1001,customers!$B$2:$B$1001)</f>
        <v>Judd De Leek</v>
      </c>
      <c r="G378" s="2" t="str">
        <f>IF(_xlfn.XLOOKUP(C378,customers!$A$2:$A$1001,customers!$C$2:$C$1001,,)=0,"",_xlfn.XLOOKUP(C378,customers!$A$2:$A$1001,customers!$C$2:$C$1001,,))</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cm="1">
        <f t="array" ref="N378">_xlfn.IFS(I378="Rob","Robusta",I378="Exc","Excelsa",I378="Ara","Arabica",I378="Lib","Liberica")</f>
        <v>Robusta</v>
      </c>
      <c r="O378" t="str" cm="1">
        <f t="array" ref="O378">_xlfn.IFS(J378="M","Medium",J378="L","Light",J378="D","Dark")</f>
        <v>Medium</v>
      </c>
      <c r="P378" t="str">
        <f>_xlfn.XLOOKUP(Orders[[#This Row],[Customer ID]],customers!$A$1:$A$1001,customers!$I$1:$I$1001,,0)</f>
        <v>Yes</v>
      </c>
    </row>
    <row r="379" spans="1:16" x14ac:dyDescent="0.25">
      <c r="A379" s="2" t="s">
        <v>2615</v>
      </c>
      <c r="B379" s="3">
        <v>43532</v>
      </c>
      <c r="C379" s="2" t="s">
        <v>2616</v>
      </c>
      <c r="D379" t="s">
        <v>6163</v>
      </c>
      <c r="E379" s="2">
        <v>3</v>
      </c>
      <c r="F379" s="2" t="str">
        <f>_xlfn.XLOOKUP(orders!C379,customers!$A$2:$A$1001,customers!$B$2:$B$1001)</f>
        <v>Vanya Skullet</v>
      </c>
      <c r="G379" s="2" t="str">
        <f>IF(_xlfn.XLOOKUP(C379,customers!$A$2:$A$1001,customers!$C$2:$C$1001,,)=0,"",_xlfn.XLOOKUP(C379,customers!$A$2:$A$1001,customers!$C$2:$C$1001,,))</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cm="1">
        <f t="array" ref="N379">_xlfn.IFS(I379="Rob","Robusta",I379="Exc","Excelsa",I379="Ara","Arabica",I379="Lib","Liberica")</f>
        <v>Robusta</v>
      </c>
      <c r="O379" t="str" cm="1">
        <f t="array" ref="O379">_xlfn.IFS(J379="M","Medium",J379="L","Light",J379="D","Dark")</f>
        <v>Dark</v>
      </c>
      <c r="P379" t="str">
        <f>_xlfn.XLOOKUP(Orders[[#This Row],[Customer ID]],customers!$A$1:$A$1001,customers!$I$1:$I$1001,,0)</f>
        <v>No</v>
      </c>
    </row>
    <row r="380" spans="1:16" x14ac:dyDescent="0.25">
      <c r="A380" s="2" t="s">
        <v>2621</v>
      </c>
      <c r="B380" s="3">
        <v>44377</v>
      </c>
      <c r="C380" s="2" t="s">
        <v>2622</v>
      </c>
      <c r="D380" t="s">
        <v>6180</v>
      </c>
      <c r="E380" s="2">
        <v>3</v>
      </c>
      <c r="F380" s="2" t="str">
        <f>_xlfn.XLOOKUP(orders!C380,customers!$A$2:$A$1001,customers!$B$2:$B$1001)</f>
        <v>Jany Rudeforth</v>
      </c>
      <c r="G380" s="2" t="str">
        <f>IF(_xlfn.XLOOKUP(C380,customers!$A$2:$A$1001,customers!$C$2:$C$1001,,)=0,"",_xlfn.XLOOKUP(C380,customers!$A$2:$A$1001,customers!$C$2:$C$1001,,))</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cm="1">
        <f t="array" ref="N380">_xlfn.IFS(I380="Rob","Robusta",I380="Exc","Excelsa",I380="Ara","Arabica",I380="Lib","Liberica")</f>
        <v>Arabica</v>
      </c>
      <c r="O380" t="str" cm="1">
        <f t="array" ref="O380">_xlfn.IFS(J380="M","Medium",J380="L","Light",J380="D","Dark")</f>
        <v>Light</v>
      </c>
      <c r="P380" t="str">
        <f>_xlfn.XLOOKUP(Orders[[#This Row],[Customer ID]],customers!$A$1:$A$1001,customers!$I$1:$I$1001,,0)</f>
        <v>Yes</v>
      </c>
    </row>
    <row r="381" spans="1:16" x14ac:dyDescent="0.25">
      <c r="A381" s="2" t="s">
        <v>2627</v>
      </c>
      <c r="B381" s="3">
        <v>43690</v>
      </c>
      <c r="C381" s="2" t="s">
        <v>2628</v>
      </c>
      <c r="D381" t="s">
        <v>6173</v>
      </c>
      <c r="E381" s="2">
        <v>6</v>
      </c>
      <c r="F381" s="2" t="str">
        <f>_xlfn.XLOOKUP(orders!C381,customers!$A$2:$A$1001,customers!$B$2:$B$1001)</f>
        <v>Ashbey Tomaszewski</v>
      </c>
      <c r="G381" s="2" t="str">
        <f>IF(_xlfn.XLOOKUP(C381,customers!$A$2:$A$1001,customers!$C$2:$C$1001,,)=0,"",_xlfn.XLOOKUP(C381,customers!$A$2:$A$1001,customers!$C$2:$C$1001,,))</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cm="1">
        <f t="array" ref="N381">_xlfn.IFS(I381="Rob","Robusta",I381="Exc","Excelsa",I381="Ara","Arabica",I381="Lib","Liberica")</f>
        <v>Robusta</v>
      </c>
      <c r="O381" t="str" cm="1">
        <f t="array" ref="O381">_xlfn.IFS(J381="M","Medium",J381="L","Light",J381="D","Dark")</f>
        <v>Light</v>
      </c>
      <c r="P381" t="str">
        <f>_xlfn.XLOOKUP(Orders[[#This Row],[Customer ID]],customers!$A$1:$A$1001,customers!$I$1:$I$1001,,0)</f>
        <v>Yes</v>
      </c>
    </row>
    <row r="382" spans="1:16" x14ac:dyDescent="0.25">
      <c r="A382" s="2" t="s">
        <v>2632</v>
      </c>
      <c r="B382" s="3">
        <v>44249</v>
      </c>
      <c r="C382" s="2" t="s">
        <v>2331</v>
      </c>
      <c r="D382" t="s">
        <v>6169</v>
      </c>
      <c r="E382" s="2">
        <v>3</v>
      </c>
      <c r="F382" s="2" t="str">
        <f>_xlfn.XLOOKUP(orders!C382,customers!$A$2:$A$1001,customers!$B$2:$B$1001)</f>
        <v>Flynn Antony</v>
      </c>
      <c r="G382" s="2" t="str">
        <f>IF(_xlfn.XLOOKUP(C382,customers!$A$2:$A$1001,customers!$C$2:$C$1001,,)=0,"",_xlfn.XLOOKUP(C382,customers!$A$2:$A$1001,customers!$C$2:$C$1001,,))</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cm="1">
        <f t="array" ref="N382">_xlfn.IFS(I382="Rob","Robusta",I382="Exc","Excelsa",I382="Ara","Arabica",I382="Lib","Liberica")</f>
        <v>Liberica</v>
      </c>
      <c r="O382" t="str" cm="1">
        <f t="array" ref="O382">_xlfn.IFS(J382="M","Medium",J382="L","Light",J382="D","Dark")</f>
        <v>Dark</v>
      </c>
      <c r="P382" t="str">
        <f>_xlfn.XLOOKUP(Orders[[#This Row],[Customer ID]],customers!$A$1:$A$1001,customers!$I$1:$I$1001,,0)</f>
        <v>No</v>
      </c>
    </row>
    <row r="383" spans="1:16" x14ac:dyDescent="0.25">
      <c r="A383" s="2" t="s">
        <v>2638</v>
      </c>
      <c r="B383" s="3">
        <v>44646</v>
      </c>
      <c r="C383" s="2" t="s">
        <v>2639</v>
      </c>
      <c r="D383" t="s">
        <v>6154</v>
      </c>
      <c r="E383" s="2">
        <v>5</v>
      </c>
      <c r="F383" s="2" t="str">
        <f>_xlfn.XLOOKUP(orders!C383,customers!$A$2:$A$1001,customers!$B$2:$B$1001)</f>
        <v>Pren Bess</v>
      </c>
      <c r="G383" s="2" t="str">
        <f>IF(_xlfn.XLOOKUP(C383,customers!$A$2:$A$1001,customers!$C$2:$C$1001,,)=0,"",_xlfn.XLOOKUP(C383,customers!$A$2:$A$1001,customers!$C$2:$C$1001,,))</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cm="1">
        <f t="array" ref="N383">_xlfn.IFS(I383="Rob","Robusta",I383="Exc","Excelsa",I383="Ara","Arabica",I383="Lib","Liberica")</f>
        <v>Arabica</v>
      </c>
      <c r="O383" t="str" cm="1">
        <f t="array" ref="O383">_xlfn.IFS(J383="M","Medium",J383="L","Light",J383="D","Dark")</f>
        <v>Dark</v>
      </c>
      <c r="P383" t="str">
        <f>_xlfn.XLOOKUP(Orders[[#This Row],[Customer ID]],customers!$A$1:$A$1001,customers!$I$1:$I$1001,,0)</f>
        <v>Yes</v>
      </c>
    </row>
    <row r="384" spans="1:16" x14ac:dyDescent="0.25">
      <c r="A384" s="2" t="s">
        <v>2644</v>
      </c>
      <c r="B384" s="3">
        <v>43840</v>
      </c>
      <c r="C384" s="2" t="s">
        <v>2645</v>
      </c>
      <c r="D384" t="s">
        <v>6144</v>
      </c>
      <c r="E384" s="2">
        <v>3</v>
      </c>
      <c r="F384" s="2" t="str">
        <f>_xlfn.XLOOKUP(orders!C384,customers!$A$2:$A$1001,customers!$B$2:$B$1001)</f>
        <v>Elka Windress</v>
      </c>
      <c r="G384" s="2" t="str">
        <f>IF(_xlfn.XLOOKUP(C384,customers!$A$2:$A$1001,customers!$C$2:$C$1001,,)=0,"",_xlfn.XLOOKUP(C384,customers!$A$2:$A$1001,customers!$C$2:$C$1001,,))</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cm="1">
        <f t="array" ref="N384">_xlfn.IFS(I384="Rob","Robusta",I384="Exc","Excelsa",I384="Ara","Arabica",I384="Lib","Liberica")</f>
        <v>Excelsa</v>
      </c>
      <c r="O384" t="str" cm="1">
        <f t="array" ref="O384">_xlfn.IFS(J384="M","Medium",J384="L","Light",J384="D","Dark")</f>
        <v>Dark</v>
      </c>
      <c r="P384" t="str">
        <f>_xlfn.XLOOKUP(Orders[[#This Row],[Customer ID]],customers!$A$1:$A$1001,customers!$I$1:$I$1001,,0)</f>
        <v>No</v>
      </c>
    </row>
    <row r="385" spans="1:16" x14ac:dyDescent="0.25">
      <c r="A385" s="2" t="s">
        <v>2650</v>
      </c>
      <c r="B385" s="3">
        <v>43586</v>
      </c>
      <c r="C385" s="2" t="s">
        <v>2651</v>
      </c>
      <c r="D385" t="s">
        <v>6176</v>
      </c>
      <c r="E385" s="2">
        <v>6</v>
      </c>
      <c r="F385" s="2" t="str">
        <f>_xlfn.XLOOKUP(orders!C385,customers!$A$2:$A$1001,customers!$B$2:$B$1001)</f>
        <v>Marty Kidstoun</v>
      </c>
      <c r="G385" s="2" t="str">
        <f>IF(_xlfn.XLOOKUP(C385,customers!$A$2:$A$1001,customers!$C$2:$C$1001,,)=0,"",_xlfn.XLOOKUP(C385,customers!$A$2:$A$1001,customers!$C$2:$C$1001,,))</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cm="1">
        <f t="array" ref="N385">_xlfn.IFS(I385="Rob","Robusta",I385="Exc","Excelsa",I385="Ara","Arabica",I385="Lib","Liberica")</f>
        <v>Excelsa</v>
      </c>
      <c r="O385" t="str" cm="1">
        <f t="array" ref="O385">_xlfn.IFS(J385="M","Medium",J385="L","Light",J385="D","Dark")</f>
        <v>Light</v>
      </c>
      <c r="P385" t="str">
        <f>_xlfn.XLOOKUP(Orders[[#This Row],[Customer ID]],customers!$A$1:$A$1001,customers!$I$1:$I$1001,,0)</f>
        <v>Yes</v>
      </c>
    </row>
    <row r="386" spans="1:16" x14ac:dyDescent="0.25">
      <c r="A386" s="2" t="s">
        <v>2655</v>
      </c>
      <c r="B386" s="3">
        <v>43870</v>
      </c>
      <c r="C386" s="2" t="s">
        <v>2656</v>
      </c>
      <c r="D386" t="s">
        <v>6182</v>
      </c>
      <c r="E386" s="2">
        <v>4</v>
      </c>
      <c r="F386" s="2" t="str">
        <f>_xlfn.XLOOKUP(orders!C386,customers!$A$2:$A$1001,customers!$B$2:$B$1001)</f>
        <v>Nickey Dimbleby</v>
      </c>
      <c r="G386" s="2" t="str">
        <f>IF(_xlfn.XLOOKUP(C386,customers!$A$2:$A$1001,customers!$C$2:$C$1001,,)=0,"",_xlfn.XLOOKUP(C386,customers!$A$2:$A$1001,customers!$C$2:$C$1001,,))</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cm="1">
        <f t="array" ref="N386">_xlfn.IFS(I386="Rob","Robusta",I386="Exc","Excelsa",I386="Ara","Arabica",I386="Lib","Liberica")</f>
        <v>Arabica</v>
      </c>
      <c r="O386" t="str" cm="1">
        <f t="array" ref="O386">_xlfn.IFS(J386="M","Medium",J386="L","Light",J386="D","Dark")</f>
        <v>Light</v>
      </c>
      <c r="P386" t="str">
        <f>_xlfn.XLOOKUP(Orders[[#This Row],[Customer ID]],customers!$A$1:$A$1001,customers!$I$1:$I$1001,,0)</f>
        <v>No</v>
      </c>
    </row>
    <row r="387" spans="1:16" x14ac:dyDescent="0.25">
      <c r="A387" s="2" t="s">
        <v>2660</v>
      </c>
      <c r="B387" s="3">
        <v>44559</v>
      </c>
      <c r="C387" s="2" t="s">
        <v>2661</v>
      </c>
      <c r="D387" t="s">
        <v>6160</v>
      </c>
      <c r="E387" s="2">
        <v>5</v>
      </c>
      <c r="F387" s="2" t="str">
        <f>_xlfn.XLOOKUP(orders!C387,customers!$A$2:$A$1001,customers!$B$2:$B$1001)</f>
        <v>Virgil Baumadier</v>
      </c>
      <c r="G387" s="2" t="str">
        <f>IF(_xlfn.XLOOKUP(C387,customers!$A$2:$A$1001,customers!$C$2:$C$1001,,)=0,"",_xlfn.XLOOKUP(C387,customers!$A$2:$A$1001,customers!$C$2:$C$1001,,))</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L387*E387</f>
        <v>43.650000000000006</v>
      </c>
      <c r="N387" t="str" cm="1">
        <f t="array" ref="N387">_xlfn.IFS(I387="Rob","Robusta",I387="Exc","Excelsa",I387="Ara","Arabica",I387="Lib","Liberica")</f>
        <v>Liberica</v>
      </c>
      <c r="O387" t="str" cm="1">
        <f t="array" ref="O387">_xlfn.IFS(J387="M","Medium",J387="L","Light",J387="D","Dark")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_xlfn.XLOOKUP(orders!C388,customers!$A$2:$A$1001,customers!$B$2:$B$1001)</f>
        <v>Lenore Messenbird</v>
      </c>
      <c r="G388" s="2" t="str">
        <f>IF(_xlfn.XLOOKUP(C388,customers!$A$2:$A$1001,customers!$C$2:$C$1001,,)=0,"",_xlfn.XLOOKUP(C388,customers!$A$2:$A$1001,customers!$C$2:$C$1001,,))</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cm="1">
        <f t="array" ref="N388">_xlfn.IFS(I388="Rob","Robusta",I388="Exc","Excelsa",I388="Ara","Arabica",I388="Lib","Liberica")</f>
        <v>Arabica</v>
      </c>
      <c r="O388" t="str" cm="1">
        <f t="array" ref="O388">_xlfn.IFS(J388="M","Medium",J388="L","Light",J388="D","Dark")</f>
        <v>Dark</v>
      </c>
      <c r="P388" t="str">
        <f>_xlfn.XLOOKUP(Orders[[#This Row],[Customer ID]],customers!$A$1:$A$1001,customers!$I$1:$I$1001,,0)</f>
        <v>Yes</v>
      </c>
    </row>
    <row r="389" spans="1:16" x14ac:dyDescent="0.25">
      <c r="A389" s="2" t="s">
        <v>2671</v>
      </c>
      <c r="B389" s="3">
        <v>44455</v>
      </c>
      <c r="C389" s="2" t="s">
        <v>2672</v>
      </c>
      <c r="D389" t="s">
        <v>6171</v>
      </c>
      <c r="E389" s="2">
        <v>5</v>
      </c>
      <c r="F389" s="2" t="str">
        <f>_xlfn.XLOOKUP(orders!C389,customers!$A$2:$A$1001,customers!$B$2:$B$1001)</f>
        <v>Shirleen Welds</v>
      </c>
      <c r="G389" s="2" t="str">
        <f>IF(_xlfn.XLOOKUP(C389,customers!$A$2:$A$1001,customers!$C$2:$C$1001,,)=0,"",_xlfn.XLOOKUP(C389,customers!$A$2:$A$1001,customers!$C$2:$C$1001,,))</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cm="1">
        <f t="array" ref="N389">_xlfn.IFS(I389="Rob","Robusta",I389="Exc","Excelsa",I389="Ara","Arabica",I389="Lib","Liberica")</f>
        <v>Excelsa</v>
      </c>
      <c r="O389" t="str" cm="1">
        <f t="array" ref="O389">_xlfn.IFS(J389="M","Medium",J389="L","Light",J389="D","Dark")</f>
        <v>Light</v>
      </c>
      <c r="P389" t="str">
        <f>_xlfn.XLOOKUP(Orders[[#This Row],[Customer ID]],customers!$A$1:$A$1001,customers!$I$1:$I$1001,,0)</f>
        <v>Yes</v>
      </c>
    </row>
    <row r="390" spans="1:16" x14ac:dyDescent="0.25">
      <c r="A390" s="2" t="s">
        <v>2677</v>
      </c>
      <c r="B390" s="3">
        <v>44130</v>
      </c>
      <c r="C390" s="2" t="s">
        <v>2678</v>
      </c>
      <c r="D390" t="s">
        <v>6150</v>
      </c>
      <c r="E390" s="2">
        <v>3</v>
      </c>
      <c r="F390" s="2" t="str">
        <f>_xlfn.XLOOKUP(orders!C390,customers!$A$2:$A$1001,customers!$B$2:$B$1001)</f>
        <v>Maisie Sarvar</v>
      </c>
      <c r="G390" s="2" t="str">
        <f>IF(_xlfn.XLOOKUP(C390,customers!$A$2:$A$1001,customers!$C$2:$C$1001,,)=0,"",_xlfn.XLOOKUP(C390,customers!$A$2:$A$1001,customers!$C$2:$C$1001,,))</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cm="1">
        <f t="array" ref="N390">_xlfn.IFS(I390="Rob","Robusta",I390="Exc","Excelsa",I390="Ara","Arabica",I390="Lib","Liberica")</f>
        <v>Liberica</v>
      </c>
      <c r="O390" t="str" cm="1">
        <f t="array" ref="O390">_xlfn.IFS(J390="M","Medium",J390="L","Light",J390="D","Dark")</f>
        <v>Dark</v>
      </c>
      <c r="P390" t="str">
        <f>_xlfn.XLOOKUP(Orders[[#This Row],[Customer ID]],customers!$A$1:$A$1001,customers!$I$1:$I$1001,,0)</f>
        <v>Yes</v>
      </c>
    </row>
    <row r="391" spans="1:16" x14ac:dyDescent="0.25">
      <c r="A391" s="2" t="s">
        <v>2683</v>
      </c>
      <c r="B391" s="3">
        <v>43536</v>
      </c>
      <c r="C391" s="2" t="s">
        <v>2684</v>
      </c>
      <c r="D391" t="s">
        <v>6169</v>
      </c>
      <c r="E391" s="2">
        <v>3</v>
      </c>
      <c r="F391" s="2" t="str">
        <f>_xlfn.XLOOKUP(orders!C391,customers!$A$2:$A$1001,customers!$B$2:$B$1001)</f>
        <v>Andrej Havick</v>
      </c>
      <c r="G391" s="2" t="str">
        <f>IF(_xlfn.XLOOKUP(C391,customers!$A$2:$A$1001,customers!$C$2:$C$1001,,)=0,"",_xlfn.XLOOKUP(C391,customers!$A$2:$A$1001,customers!$C$2:$C$1001,,))</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cm="1">
        <f t="array" ref="N391">_xlfn.IFS(I391="Rob","Robusta",I391="Exc","Excelsa",I391="Ara","Arabica",I391="Lib","Liberica")</f>
        <v>Liberica</v>
      </c>
      <c r="O391" t="str" cm="1">
        <f t="array" ref="O391">_xlfn.IFS(J391="M","Medium",J391="L","Light",J391="D","Dark")</f>
        <v>Dark</v>
      </c>
      <c r="P391" t="str">
        <f>_xlfn.XLOOKUP(Orders[[#This Row],[Customer ID]],customers!$A$1:$A$1001,customers!$I$1:$I$1001,,0)</f>
        <v>Yes</v>
      </c>
    </row>
    <row r="392" spans="1:16" x14ac:dyDescent="0.25">
      <c r="A392" s="2" t="s">
        <v>2689</v>
      </c>
      <c r="B392" s="3">
        <v>44245</v>
      </c>
      <c r="C392" s="2" t="s">
        <v>2690</v>
      </c>
      <c r="D392" t="s">
        <v>6144</v>
      </c>
      <c r="E392" s="2">
        <v>2</v>
      </c>
      <c r="F392" s="2" t="str">
        <f>_xlfn.XLOOKUP(orders!C392,customers!$A$2:$A$1001,customers!$B$2:$B$1001)</f>
        <v>Sloan Diviny</v>
      </c>
      <c r="G392" s="2" t="str">
        <f>IF(_xlfn.XLOOKUP(C392,customers!$A$2:$A$1001,customers!$C$2:$C$1001,,)=0,"",_xlfn.XLOOKUP(C392,customers!$A$2:$A$1001,customers!$C$2:$C$1001,,))</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cm="1">
        <f t="array" ref="N392">_xlfn.IFS(I392="Rob","Robusta",I392="Exc","Excelsa",I392="Ara","Arabica",I392="Lib","Liberica")</f>
        <v>Excelsa</v>
      </c>
      <c r="O392" t="str" cm="1">
        <f t="array" ref="O392">_xlfn.IFS(J392="M","Medium",J392="L","Light",J392="D","Dark")</f>
        <v>Dark</v>
      </c>
      <c r="P392" t="str">
        <f>_xlfn.XLOOKUP(Orders[[#This Row],[Customer ID]],customers!$A$1:$A$1001,customers!$I$1:$I$1001,,0)</f>
        <v>Yes</v>
      </c>
    </row>
    <row r="393" spans="1:16" x14ac:dyDescent="0.25">
      <c r="A393" s="2" t="s">
        <v>2694</v>
      </c>
      <c r="B393" s="3">
        <v>44133</v>
      </c>
      <c r="C393" s="2" t="s">
        <v>2695</v>
      </c>
      <c r="D393" t="s">
        <v>6157</v>
      </c>
      <c r="E393" s="2">
        <v>2</v>
      </c>
      <c r="F393" s="2" t="str">
        <f>_xlfn.XLOOKUP(orders!C393,customers!$A$2:$A$1001,customers!$B$2:$B$1001)</f>
        <v>Itch Norquoy</v>
      </c>
      <c r="G393" s="2" t="str">
        <f>IF(_xlfn.XLOOKUP(C393,customers!$A$2:$A$1001,customers!$C$2:$C$1001,,)=0,"",_xlfn.XLOOKUP(C393,customers!$A$2:$A$1001,customers!$C$2:$C$1001,,))</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cm="1">
        <f t="array" ref="N393">_xlfn.IFS(I393="Rob","Robusta",I393="Exc","Excelsa",I393="Ara","Arabica",I393="Lib","Liberica")</f>
        <v>Arabica</v>
      </c>
      <c r="O393" t="str" cm="1">
        <f t="array" ref="O393">_xlfn.IFS(J393="M","Medium",J393="L","Light",J393="D","Dark")</f>
        <v>Medium</v>
      </c>
      <c r="P393" t="str">
        <f>_xlfn.XLOOKUP(Orders[[#This Row],[Customer ID]],customers!$A$1:$A$1001,customers!$I$1:$I$1001,,0)</f>
        <v>No</v>
      </c>
    </row>
    <row r="394" spans="1:16" x14ac:dyDescent="0.25">
      <c r="A394" s="2" t="s">
        <v>2699</v>
      </c>
      <c r="B394" s="3">
        <v>44445</v>
      </c>
      <c r="C394" s="2" t="s">
        <v>2700</v>
      </c>
      <c r="D394" t="s">
        <v>6171</v>
      </c>
      <c r="E394" s="2">
        <v>6</v>
      </c>
      <c r="F394" s="2" t="str">
        <f>_xlfn.XLOOKUP(orders!C394,customers!$A$2:$A$1001,customers!$B$2:$B$1001)</f>
        <v>Anson Iddison</v>
      </c>
      <c r="G394" s="2" t="str">
        <f>IF(_xlfn.XLOOKUP(C394,customers!$A$2:$A$1001,customers!$C$2:$C$1001,,)=0,"",_xlfn.XLOOKUP(C394,customers!$A$2:$A$1001,customers!$C$2:$C$1001,,))</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cm="1">
        <f t="array" ref="N394">_xlfn.IFS(I394="Rob","Robusta",I394="Exc","Excelsa",I394="Ara","Arabica",I394="Lib","Liberica")</f>
        <v>Excelsa</v>
      </c>
      <c r="O394" t="str" cm="1">
        <f t="array" ref="O394">_xlfn.IFS(J394="M","Medium",J394="L","Light",J394="D","Dark")</f>
        <v>Light</v>
      </c>
      <c r="P394" t="str">
        <f>_xlfn.XLOOKUP(Orders[[#This Row],[Customer ID]],customers!$A$1:$A$1001,customers!$I$1:$I$1001,,0)</f>
        <v>No</v>
      </c>
    </row>
    <row r="395" spans="1:16" x14ac:dyDescent="0.25">
      <c r="A395" s="2" t="s">
        <v>2699</v>
      </c>
      <c r="B395" s="3">
        <v>44445</v>
      </c>
      <c r="C395" s="2" t="s">
        <v>2700</v>
      </c>
      <c r="D395" t="s">
        <v>6167</v>
      </c>
      <c r="E395" s="2">
        <v>1</v>
      </c>
      <c r="F395" s="2" t="str">
        <f>_xlfn.XLOOKUP(orders!C395,customers!$A$2:$A$1001,customers!$B$2:$B$1001)</f>
        <v>Anson Iddison</v>
      </c>
      <c r="G395" s="2" t="str">
        <f>IF(_xlfn.XLOOKUP(C395,customers!$A$2:$A$1001,customers!$C$2:$C$1001,,)=0,"",_xlfn.XLOOKUP(C395,customers!$A$2:$A$1001,customers!$C$2:$C$1001,,))</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cm="1">
        <f t="array" ref="N395">_xlfn.IFS(I395="Rob","Robusta",I395="Exc","Excelsa",I395="Ara","Arabica",I395="Lib","Liberica")</f>
        <v>Arabica</v>
      </c>
      <c r="O395" t="str" cm="1">
        <f t="array" ref="O395">_xlfn.IFS(J395="M","Medium",J395="L","Light",J395="D","Dark")</f>
        <v>Light</v>
      </c>
      <c r="P395" t="str">
        <f>_xlfn.XLOOKUP(Orders[[#This Row],[Customer ID]],customers!$A$1:$A$1001,customers!$I$1:$I$1001,,0)</f>
        <v>No</v>
      </c>
    </row>
    <row r="396" spans="1:16" x14ac:dyDescent="0.25">
      <c r="A396" s="2" t="s">
        <v>2710</v>
      </c>
      <c r="B396" s="3">
        <v>44083</v>
      </c>
      <c r="C396" s="2" t="s">
        <v>2711</v>
      </c>
      <c r="D396" t="s">
        <v>6142</v>
      </c>
      <c r="E396" s="2">
        <v>4</v>
      </c>
      <c r="F396" s="2" t="str">
        <f>_xlfn.XLOOKUP(orders!C396,customers!$A$2:$A$1001,customers!$B$2:$B$1001)</f>
        <v>Randal Longfield</v>
      </c>
      <c r="G396" s="2" t="str">
        <f>IF(_xlfn.XLOOKUP(C396,customers!$A$2:$A$1001,customers!$C$2:$C$1001,,)=0,"",_xlfn.XLOOKUP(C396,customers!$A$2:$A$1001,customers!$C$2:$C$1001,,))</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cm="1">
        <f t="array" ref="N396">_xlfn.IFS(I396="Rob","Robusta",I396="Exc","Excelsa",I396="Ara","Arabica",I396="Lib","Liberica")</f>
        <v>Robusta</v>
      </c>
      <c r="O396" t="str" cm="1">
        <f t="array" ref="O396">_xlfn.IFS(J396="M","Medium",J396="L","Light",J396="D","Dark")</f>
        <v>Light</v>
      </c>
      <c r="P396" t="str">
        <f>_xlfn.XLOOKUP(Orders[[#This Row],[Customer ID]],customers!$A$1:$A$1001,customers!$I$1:$I$1001,,0)</f>
        <v>No</v>
      </c>
    </row>
    <row r="397" spans="1:16" x14ac:dyDescent="0.25">
      <c r="A397" s="2" t="s">
        <v>2716</v>
      </c>
      <c r="B397" s="3">
        <v>44465</v>
      </c>
      <c r="C397" s="2" t="s">
        <v>2717</v>
      </c>
      <c r="D397" t="s">
        <v>6169</v>
      </c>
      <c r="E397" s="2">
        <v>6</v>
      </c>
      <c r="F397" s="2" t="str">
        <f>_xlfn.XLOOKUP(orders!C397,customers!$A$2:$A$1001,customers!$B$2:$B$1001)</f>
        <v>Gregorius Kislingbury</v>
      </c>
      <c r="G397" s="2" t="str">
        <f>IF(_xlfn.XLOOKUP(C397,customers!$A$2:$A$1001,customers!$C$2:$C$1001,,)=0,"",_xlfn.XLOOKUP(C397,customers!$A$2:$A$1001,customers!$C$2:$C$1001,,))</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cm="1">
        <f t="array" ref="N397">_xlfn.IFS(I397="Rob","Robusta",I397="Exc","Excelsa",I397="Ara","Arabica",I397="Lib","Liberica")</f>
        <v>Liberica</v>
      </c>
      <c r="O397" t="str" cm="1">
        <f t="array" ref="O397">_xlfn.IFS(J397="M","Medium",J397="L","Light",J397="D","Dark")</f>
        <v>Dark</v>
      </c>
      <c r="P397" t="str">
        <f>_xlfn.XLOOKUP(Orders[[#This Row],[Customer ID]],customers!$A$1:$A$1001,customers!$I$1:$I$1001,,0)</f>
        <v>Yes</v>
      </c>
    </row>
    <row r="398" spans="1:16" x14ac:dyDescent="0.25">
      <c r="A398" s="2" t="s">
        <v>2721</v>
      </c>
      <c r="B398" s="3">
        <v>44140</v>
      </c>
      <c r="C398" s="2" t="s">
        <v>2722</v>
      </c>
      <c r="D398" t="s">
        <v>6180</v>
      </c>
      <c r="E398" s="2">
        <v>5</v>
      </c>
      <c r="F398" s="2" t="str">
        <f>_xlfn.XLOOKUP(orders!C398,customers!$A$2:$A$1001,customers!$B$2:$B$1001)</f>
        <v>Xenos Gibbons</v>
      </c>
      <c r="G398" s="2" t="str">
        <f>IF(_xlfn.XLOOKUP(C398,customers!$A$2:$A$1001,customers!$C$2:$C$1001,,)=0,"",_xlfn.XLOOKUP(C398,customers!$A$2:$A$1001,customers!$C$2:$C$1001,,))</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cm="1">
        <f t="array" ref="N398">_xlfn.IFS(I398="Rob","Robusta",I398="Exc","Excelsa",I398="Ara","Arabica",I398="Lib","Liberica")</f>
        <v>Arabica</v>
      </c>
      <c r="O398" t="str" cm="1">
        <f t="array" ref="O398">_xlfn.IFS(J398="M","Medium",J398="L","Light",J398="D","Dark")</f>
        <v>Light</v>
      </c>
      <c r="P398" t="str">
        <f>_xlfn.XLOOKUP(Orders[[#This Row],[Customer ID]],customers!$A$1:$A$1001,customers!$I$1:$I$1001,,0)</f>
        <v>No</v>
      </c>
    </row>
    <row r="399" spans="1:16" x14ac:dyDescent="0.25">
      <c r="A399" s="2" t="s">
        <v>2727</v>
      </c>
      <c r="B399" s="3">
        <v>43720</v>
      </c>
      <c r="C399" s="2" t="s">
        <v>2728</v>
      </c>
      <c r="D399" t="s">
        <v>6169</v>
      </c>
      <c r="E399" s="2">
        <v>4</v>
      </c>
      <c r="F399" s="2" t="str">
        <f>_xlfn.XLOOKUP(orders!C399,customers!$A$2:$A$1001,customers!$B$2:$B$1001)</f>
        <v>Fleur Parres</v>
      </c>
      <c r="G399" s="2" t="str">
        <f>IF(_xlfn.XLOOKUP(C399,customers!$A$2:$A$1001,customers!$C$2:$C$1001,,)=0,"",_xlfn.XLOOKUP(C399,customers!$A$2:$A$1001,customers!$C$2:$C$1001,,))</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cm="1">
        <f t="array" ref="N399">_xlfn.IFS(I399="Rob","Robusta",I399="Exc","Excelsa",I399="Ara","Arabica",I399="Lib","Liberica")</f>
        <v>Liberica</v>
      </c>
      <c r="O399" t="str" cm="1">
        <f t="array" ref="O399">_xlfn.IFS(J399="M","Medium",J399="L","Light",J399="D","Dark")</f>
        <v>Dark</v>
      </c>
      <c r="P399" t="str">
        <f>_xlfn.XLOOKUP(Orders[[#This Row],[Customer ID]],customers!$A$1:$A$1001,customers!$I$1:$I$1001,,0)</f>
        <v>Yes</v>
      </c>
    </row>
    <row r="400" spans="1:16" x14ac:dyDescent="0.25">
      <c r="A400" s="2" t="s">
        <v>2733</v>
      </c>
      <c r="B400" s="3">
        <v>43677</v>
      </c>
      <c r="C400" s="2" t="s">
        <v>2734</v>
      </c>
      <c r="D400" t="s">
        <v>6154</v>
      </c>
      <c r="E400" s="2">
        <v>6</v>
      </c>
      <c r="F400" s="2" t="str">
        <f>_xlfn.XLOOKUP(orders!C400,customers!$A$2:$A$1001,customers!$B$2:$B$1001)</f>
        <v>Gran Sibray</v>
      </c>
      <c r="G400" s="2" t="str">
        <f>IF(_xlfn.XLOOKUP(C400,customers!$A$2:$A$1001,customers!$C$2:$C$1001,,)=0,"",_xlfn.XLOOKUP(C400,customers!$A$2:$A$1001,customers!$C$2:$C$1001,,))</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cm="1">
        <f t="array" ref="N400">_xlfn.IFS(I400="Rob","Robusta",I400="Exc","Excelsa",I400="Ara","Arabica",I400="Lib","Liberica")</f>
        <v>Arabica</v>
      </c>
      <c r="O400" t="str" cm="1">
        <f t="array" ref="O400">_xlfn.IFS(J400="M","Medium",J400="L","Light",J400="D","Dark")</f>
        <v>Dark</v>
      </c>
      <c r="P400" t="str">
        <f>_xlfn.XLOOKUP(Orders[[#This Row],[Customer ID]],customers!$A$1:$A$1001,customers!$I$1:$I$1001,,0)</f>
        <v>Yes</v>
      </c>
    </row>
    <row r="401" spans="1:16" x14ac:dyDescent="0.25">
      <c r="A401" s="2" t="s">
        <v>2739</v>
      </c>
      <c r="B401" s="3">
        <v>43539</v>
      </c>
      <c r="C401" s="2" t="s">
        <v>2740</v>
      </c>
      <c r="D401" t="s">
        <v>6185</v>
      </c>
      <c r="E401" s="2">
        <v>6</v>
      </c>
      <c r="F401" s="2" t="str">
        <f>_xlfn.XLOOKUP(orders!C401,customers!$A$2:$A$1001,customers!$B$2:$B$1001)</f>
        <v>Ingelbert Hotchkin</v>
      </c>
      <c r="G401" s="2" t="str">
        <f>IF(_xlfn.XLOOKUP(C401,customers!$A$2:$A$1001,customers!$C$2:$C$1001,,)=0,"",_xlfn.XLOOKUP(C401,customers!$A$2:$A$1001,customers!$C$2:$C$1001,,))</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cm="1">
        <f t="array" ref="N401">_xlfn.IFS(I401="Rob","Robusta",I401="Exc","Excelsa",I401="Ara","Arabica",I401="Lib","Liberica")</f>
        <v>Excelsa</v>
      </c>
      <c r="O401" t="str" cm="1">
        <f t="array" ref="O401">_xlfn.IFS(J401="M","Medium",J401="L","Light",J401="D","Dark")</f>
        <v>Dark</v>
      </c>
      <c r="P401" t="str">
        <f>_xlfn.XLOOKUP(Orders[[#This Row],[Customer ID]],customers!$A$1:$A$1001,customers!$I$1:$I$1001,,0)</f>
        <v>No</v>
      </c>
    </row>
    <row r="402" spans="1:16" x14ac:dyDescent="0.25">
      <c r="A402" s="2" t="s">
        <v>2745</v>
      </c>
      <c r="B402" s="3">
        <v>44332</v>
      </c>
      <c r="C402" s="2" t="s">
        <v>2746</v>
      </c>
      <c r="D402" t="s">
        <v>6170</v>
      </c>
      <c r="E402" s="2">
        <v>4</v>
      </c>
      <c r="F402" s="2" t="str">
        <f>_xlfn.XLOOKUP(orders!C402,customers!$A$2:$A$1001,customers!$B$2:$B$1001)</f>
        <v>Neely Broadberrie</v>
      </c>
      <c r="G402" s="2" t="str">
        <f>IF(_xlfn.XLOOKUP(C402,customers!$A$2:$A$1001,customers!$C$2:$C$1001,,)=0,"",_xlfn.XLOOKUP(C402,customers!$A$2:$A$1001,customers!$C$2:$C$1001,,))</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cm="1">
        <f t="array" ref="N402">_xlfn.IFS(I402="Rob","Robusta",I402="Exc","Excelsa",I402="Ara","Arabica",I402="Lib","Liberica")</f>
        <v>Liberica</v>
      </c>
      <c r="O402" t="str" cm="1">
        <f t="array" ref="O402">_xlfn.IFS(J402="M","Medium",J402="L","Light",J402="D","Dark")</f>
        <v>Light</v>
      </c>
      <c r="P402" t="str">
        <f>_xlfn.XLOOKUP(Orders[[#This Row],[Customer ID]],customers!$A$1:$A$1001,customers!$I$1:$I$1001,,0)</f>
        <v>No</v>
      </c>
    </row>
    <row r="403" spans="1:16" x14ac:dyDescent="0.25">
      <c r="A403" s="2" t="s">
        <v>2751</v>
      </c>
      <c r="B403" s="3">
        <v>43591</v>
      </c>
      <c r="C403" s="2" t="s">
        <v>2752</v>
      </c>
      <c r="D403" t="s">
        <v>6159</v>
      </c>
      <c r="E403" s="2">
        <v>2</v>
      </c>
      <c r="F403" s="2" t="str">
        <f>_xlfn.XLOOKUP(orders!C403,customers!$A$2:$A$1001,customers!$B$2:$B$1001)</f>
        <v>Rutger Pithcock</v>
      </c>
      <c r="G403" s="2" t="str">
        <f>IF(_xlfn.XLOOKUP(C403,customers!$A$2:$A$1001,customers!$C$2:$C$1001,,)=0,"",_xlfn.XLOOKUP(C403,customers!$A$2:$A$1001,customers!$C$2:$C$1001,,))</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cm="1">
        <f t="array" ref="N403">_xlfn.IFS(I403="Rob","Robusta",I403="Exc","Excelsa",I403="Ara","Arabica",I403="Lib","Liberica")</f>
        <v>Liberica</v>
      </c>
      <c r="O403" t="str" cm="1">
        <f t="array" ref="O403">_xlfn.IFS(J403="M","Medium",J403="L","Light",J403="D","Dark")</f>
        <v>Medium</v>
      </c>
      <c r="P403" t="str">
        <f>_xlfn.XLOOKUP(Orders[[#This Row],[Customer ID]],customers!$A$1:$A$1001,customers!$I$1:$I$1001,,0)</f>
        <v>Yes</v>
      </c>
    </row>
    <row r="404" spans="1:16" x14ac:dyDescent="0.25">
      <c r="A404" s="2" t="s">
        <v>2757</v>
      </c>
      <c r="B404" s="3">
        <v>43502</v>
      </c>
      <c r="C404" s="2" t="s">
        <v>2758</v>
      </c>
      <c r="D404" t="s">
        <v>6177</v>
      </c>
      <c r="E404" s="2">
        <v>3</v>
      </c>
      <c r="F404" s="2" t="str">
        <f>_xlfn.XLOOKUP(orders!C404,customers!$A$2:$A$1001,customers!$B$2:$B$1001)</f>
        <v>Gale Croysdale</v>
      </c>
      <c r="G404" s="2" t="str">
        <f>IF(_xlfn.XLOOKUP(C404,customers!$A$2:$A$1001,customers!$C$2:$C$1001,,)=0,"",_xlfn.XLOOKUP(C404,customers!$A$2:$A$1001,customers!$C$2:$C$1001,,))</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cm="1">
        <f t="array" ref="N404">_xlfn.IFS(I404="Rob","Robusta",I404="Exc","Excelsa",I404="Ara","Arabica",I404="Lib","Liberica")</f>
        <v>Robusta</v>
      </c>
      <c r="O404" t="str" cm="1">
        <f t="array" ref="O404">_xlfn.IFS(J404="M","Medium",J404="L","Light",J404="D","Dark")</f>
        <v>Dark</v>
      </c>
      <c r="P404" t="str">
        <f>_xlfn.XLOOKUP(Orders[[#This Row],[Customer ID]],customers!$A$1:$A$1001,customers!$I$1:$I$1001,,0)</f>
        <v>Yes</v>
      </c>
    </row>
    <row r="405" spans="1:16" x14ac:dyDescent="0.25">
      <c r="A405" s="2" t="s">
        <v>2763</v>
      </c>
      <c r="B405" s="3">
        <v>44295</v>
      </c>
      <c r="C405" s="2" t="s">
        <v>2764</v>
      </c>
      <c r="D405" t="s">
        <v>6145</v>
      </c>
      <c r="E405" s="2">
        <v>2</v>
      </c>
      <c r="F405" s="2" t="str">
        <f>_xlfn.XLOOKUP(orders!C405,customers!$A$2:$A$1001,customers!$B$2:$B$1001)</f>
        <v>Benedetto Gozzett</v>
      </c>
      <c r="G405" s="2" t="str">
        <f>IF(_xlfn.XLOOKUP(C405,customers!$A$2:$A$1001,customers!$C$2:$C$1001,,)=0,"",_xlfn.XLOOKUP(C405,customers!$A$2:$A$1001,customers!$C$2:$C$1001,,))</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cm="1">
        <f t="array" ref="N405">_xlfn.IFS(I405="Rob","Robusta",I405="Exc","Excelsa",I405="Ara","Arabica",I405="Lib","Liberica")</f>
        <v>Liberica</v>
      </c>
      <c r="O405" t="str" cm="1">
        <f t="array" ref="O405">_xlfn.IFS(J405="M","Medium",J405="L","Light",J405="D","Dark")</f>
        <v>Light</v>
      </c>
      <c r="P405" t="str">
        <f>_xlfn.XLOOKUP(Orders[[#This Row],[Customer ID]],customers!$A$1:$A$1001,customers!$I$1:$I$1001,,0)</f>
        <v>No</v>
      </c>
    </row>
    <row r="406" spans="1:16" x14ac:dyDescent="0.25">
      <c r="A406" s="2" t="s">
        <v>2769</v>
      </c>
      <c r="B406" s="3">
        <v>43971</v>
      </c>
      <c r="C406" s="2" t="s">
        <v>2770</v>
      </c>
      <c r="D406" t="s">
        <v>6147</v>
      </c>
      <c r="E406" s="2">
        <v>4</v>
      </c>
      <c r="F406" s="2" t="str">
        <f>_xlfn.XLOOKUP(orders!C406,customers!$A$2:$A$1001,customers!$B$2:$B$1001)</f>
        <v>Tania Craggs</v>
      </c>
      <c r="G406" s="2" t="str">
        <f>IF(_xlfn.XLOOKUP(C406,customers!$A$2:$A$1001,customers!$C$2:$C$1001,,)=0,"",_xlfn.XLOOKUP(C406,customers!$A$2:$A$1001,customers!$C$2:$C$1001,,))</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cm="1">
        <f t="array" ref="N406">_xlfn.IFS(I406="Rob","Robusta",I406="Exc","Excelsa",I406="Ara","Arabica",I406="Lib","Liberica")</f>
        <v>Arabica</v>
      </c>
      <c r="O406" t="str" cm="1">
        <f t="array" ref="O406">_xlfn.IFS(J406="M","Medium",J406="L","Light",J406="D","Dark")</f>
        <v>Dark</v>
      </c>
      <c r="P406" t="str">
        <f>_xlfn.XLOOKUP(Orders[[#This Row],[Customer ID]],customers!$A$1:$A$1001,customers!$I$1:$I$1001,,0)</f>
        <v>No</v>
      </c>
    </row>
    <row r="407" spans="1:16" x14ac:dyDescent="0.25">
      <c r="A407" s="2" t="s">
        <v>2775</v>
      </c>
      <c r="B407" s="3">
        <v>44167</v>
      </c>
      <c r="C407" s="2" t="s">
        <v>2776</v>
      </c>
      <c r="D407" t="s">
        <v>6139</v>
      </c>
      <c r="E407" s="2">
        <v>3</v>
      </c>
      <c r="F407" s="2" t="str">
        <f>_xlfn.XLOOKUP(orders!C407,customers!$A$2:$A$1001,customers!$B$2:$B$1001)</f>
        <v>Leonie Cullrford</v>
      </c>
      <c r="G407" s="2" t="str">
        <f>IF(_xlfn.XLOOKUP(C407,customers!$A$2:$A$1001,customers!$C$2:$C$1001,,)=0,"",_xlfn.XLOOKUP(C407,customers!$A$2:$A$1001,customers!$C$2:$C$1001,,))</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cm="1">
        <f t="array" ref="N407">_xlfn.IFS(I407="Rob","Robusta",I407="Exc","Excelsa",I407="Ara","Arabica",I407="Lib","Liberica")</f>
        <v>Excelsa</v>
      </c>
      <c r="O407" t="str" cm="1">
        <f t="array" ref="O407">_xlfn.IFS(J407="M","Medium",J407="L","Light",J407="D","Dark")</f>
        <v>Medium</v>
      </c>
      <c r="P407" t="str">
        <f>_xlfn.XLOOKUP(Orders[[#This Row],[Customer ID]],customers!$A$1:$A$1001,customers!$I$1:$I$1001,,0)</f>
        <v>Yes</v>
      </c>
    </row>
    <row r="408" spans="1:16" x14ac:dyDescent="0.25">
      <c r="A408" s="2" t="s">
        <v>2781</v>
      </c>
      <c r="B408" s="3">
        <v>44416</v>
      </c>
      <c r="C408" s="2" t="s">
        <v>2782</v>
      </c>
      <c r="D408" t="s">
        <v>6141</v>
      </c>
      <c r="E408" s="2">
        <v>5</v>
      </c>
      <c r="F408" s="2" t="str">
        <f>_xlfn.XLOOKUP(orders!C408,customers!$A$2:$A$1001,customers!$B$2:$B$1001)</f>
        <v>Auguste Rizon</v>
      </c>
      <c r="G408" s="2" t="str">
        <f>IF(_xlfn.XLOOKUP(C408,customers!$A$2:$A$1001,customers!$C$2:$C$1001,,)=0,"",_xlfn.XLOOKUP(C408,customers!$A$2:$A$1001,customers!$C$2:$C$1001,,))</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cm="1">
        <f t="array" ref="N408">_xlfn.IFS(I408="Rob","Robusta",I408="Exc","Excelsa",I408="Ara","Arabica",I408="Lib","Liberica")</f>
        <v>Excelsa</v>
      </c>
      <c r="O408" t="str" cm="1">
        <f t="array" ref="O408">_xlfn.IFS(J408="M","Medium",J408="L","Light",J408="D","Dark")</f>
        <v>Medium</v>
      </c>
      <c r="P408" t="str">
        <f>_xlfn.XLOOKUP(Orders[[#This Row],[Customer ID]],customers!$A$1:$A$1001,customers!$I$1:$I$1001,,0)</f>
        <v>Yes</v>
      </c>
    </row>
    <row r="409" spans="1:16" x14ac:dyDescent="0.25">
      <c r="A409" s="2" t="s">
        <v>2787</v>
      </c>
      <c r="B409" s="3">
        <v>44595</v>
      </c>
      <c r="C409" s="2" t="s">
        <v>2788</v>
      </c>
      <c r="D409" t="s">
        <v>6139</v>
      </c>
      <c r="E409" s="2">
        <v>6</v>
      </c>
      <c r="F409" s="2" t="str">
        <f>_xlfn.XLOOKUP(orders!C409,customers!$A$2:$A$1001,customers!$B$2:$B$1001)</f>
        <v>Lorin Guerrazzi</v>
      </c>
      <c r="G409" s="2" t="str">
        <f>IF(_xlfn.XLOOKUP(C409,customers!$A$2:$A$1001,customers!$C$2:$C$1001,,)=0,"",_xlfn.XLOOKUP(C409,customers!$A$2:$A$1001,customers!$C$2:$C$1001,,))</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cm="1">
        <f t="array" ref="N409">_xlfn.IFS(I409="Rob","Robusta",I409="Exc","Excelsa",I409="Ara","Arabica",I409="Lib","Liberica")</f>
        <v>Excelsa</v>
      </c>
      <c r="O409" t="str" cm="1">
        <f t="array" ref="O409">_xlfn.IFS(J409="M","Medium",J409="L","Light",J409="D","Dark")</f>
        <v>Medium</v>
      </c>
      <c r="P409" t="str">
        <f>_xlfn.XLOOKUP(Orders[[#This Row],[Customer ID]],customers!$A$1:$A$1001,customers!$I$1:$I$1001,,0)</f>
        <v>No</v>
      </c>
    </row>
    <row r="410" spans="1:16" x14ac:dyDescent="0.25">
      <c r="A410" s="2" t="s">
        <v>2792</v>
      </c>
      <c r="B410" s="3">
        <v>44659</v>
      </c>
      <c r="C410" s="2" t="s">
        <v>2793</v>
      </c>
      <c r="D410" t="s">
        <v>6175</v>
      </c>
      <c r="E410" s="2">
        <v>2</v>
      </c>
      <c r="F410" s="2" t="str">
        <f>_xlfn.XLOOKUP(orders!C410,customers!$A$2:$A$1001,customers!$B$2:$B$1001)</f>
        <v>Felice Miell</v>
      </c>
      <c r="G410" s="2" t="str">
        <f>IF(_xlfn.XLOOKUP(C410,customers!$A$2:$A$1001,customers!$C$2:$C$1001,,)=0,"",_xlfn.XLOOKUP(C410,customers!$A$2:$A$1001,customers!$C$2:$C$1001,,))</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cm="1">
        <f t="array" ref="N410">_xlfn.IFS(I410="Rob","Robusta",I410="Exc","Excelsa",I410="Ara","Arabica",I410="Lib","Liberica")</f>
        <v>Arabica</v>
      </c>
      <c r="O410" t="str" cm="1">
        <f t="array" ref="O410">_xlfn.IFS(J410="M","Medium",J410="L","Light",J410="D","Dark")</f>
        <v>Medium</v>
      </c>
      <c r="P410" t="str">
        <f>_xlfn.XLOOKUP(Orders[[#This Row],[Customer ID]],customers!$A$1:$A$1001,customers!$I$1:$I$1001,,0)</f>
        <v>Yes</v>
      </c>
    </row>
    <row r="411" spans="1:16" x14ac:dyDescent="0.25">
      <c r="A411" s="2" t="s">
        <v>2798</v>
      </c>
      <c r="B411" s="3">
        <v>44203</v>
      </c>
      <c r="C411" s="2" t="s">
        <v>2799</v>
      </c>
      <c r="D411" t="s">
        <v>6170</v>
      </c>
      <c r="E411" s="2">
        <v>3</v>
      </c>
      <c r="F411" s="2" t="str">
        <f>_xlfn.XLOOKUP(orders!C411,customers!$A$2:$A$1001,customers!$B$2:$B$1001)</f>
        <v>Hamish Skeech</v>
      </c>
      <c r="G411" s="2" t="str">
        <f>IF(_xlfn.XLOOKUP(C411,customers!$A$2:$A$1001,customers!$C$2:$C$1001,,)=0,"",_xlfn.XLOOKUP(C411,customers!$A$2:$A$1001,customers!$C$2:$C$1001,,))</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cm="1">
        <f t="array" ref="N411">_xlfn.IFS(I411="Rob","Robusta",I411="Exc","Excelsa",I411="Ara","Arabica",I411="Lib","Liberica")</f>
        <v>Liberica</v>
      </c>
      <c r="O411" t="str" cm="1">
        <f t="array" ref="O411">_xlfn.IFS(J411="M","Medium",J411="L","Light",J411="D","Dark")</f>
        <v>Light</v>
      </c>
      <c r="P411" t="str">
        <f>_xlfn.XLOOKUP(Orders[[#This Row],[Customer ID]],customers!$A$1:$A$1001,customers!$I$1:$I$1001,,0)</f>
        <v>Yes</v>
      </c>
    </row>
    <row r="412" spans="1:16" x14ac:dyDescent="0.25">
      <c r="A412" s="2" t="s">
        <v>2803</v>
      </c>
      <c r="B412" s="3">
        <v>44441</v>
      </c>
      <c r="C412" s="2" t="s">
        <v>2804</v>
      </c>
      <c r="D412" t="s">
        <v>6167</v>
      </c>
      <c r="E412" s="2">
        <v>4</v>
      </c>
      <c r="F412" s="2" t="str">
        <f>_xlfn.XLOOKUP(orders!C412,customers!$A$2:$A$1001,customers!$B$2:$B$1001)</f>
        <v>Giordano Lorenzin</v>
      </c>
      <c r="G412" s="2" t="str">
        <f>IF(_xlfn.XLOOKUP(C412,customers!$A$2:$A$1001,customers!$C$2:$C$1001,,)=0,"",_xlfn.XLOOKUP(C412,customers!$A$2:$A$1001,customers!$C$2:$C$1001,,))</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cm="1">
        <f t="array" ref="N412">_xlfn.IFS(I412="Rob","Robusta",I412="Exc","Excelsa",I412="Ara","Arabica",I412="Lib","Liberica")</f>
        <v>Arabica</v>
      </c>
      <c r="O412" t="str" cm="1">
        <f t="array" ref="O412">_xlfn.IFS(J412="M","Medium",J412="L","Light",J412="D","Dark")</f>
        <v>Light</v>
      </c>
      <c r="P412" t="str">
        <f>_xlfn.XLOOKUP(Orders[[#This Row],[Customer ID]],customers!$A$1:$A$1001,customers!$I$1:$I$1001,,0)</f>
        <v>No</v>
      </c>
    </row>
    <row r="413" spans="1:16" x14ac:dyDescent="0.25">
      <c r="A413" s="2" t="s">
        <v>2808</v>
      </c>
      <c r="B413" s="3">
        <v>44504</v>
      </c>
      <c r="C413" s="2" t="s">
        <v>2809</v>
      </c>
      <c r="D413" t="s">
        <v>6162</v>
      </c>
      <c r="E413" s="2">
        <v>6</v>
      </c>
      <c r="F413" s="2" t="str">
        <f>_xlfn.XLOOKUP(orders!C413,customers!$A$2:$A$1001,customers!$B$2:$B$1001)</f>
        <v>Harwilll Bishell</v>
      </c>
      <c r="G413" s="2" t="str">
        <f>IF(_xlfn.XLOOKUP(C413,customers!$A$2:$A$1001,customers!$C$2:$C$1001,,)=0,"",_xlfn.XLOOKUP(C413,customers!$A$2:$A$1001,customers!$C$2:$C$1001,,))</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cm="1">
        <f t="array" ref="N413">_xlfn.IFS(I413="Rob","Robusta",I413="Exc","Excelsa",I413="Ara","Arabica",I413="Lib","Liberica")</f>
        <v>Liberica</v>
      </c>
      <c r="O413" t="str" cm="1">
        <f t="array" ref="O413">_xlfn.IFS(J413="M","Medium",J413="L","Light",J413="D","Dark")</f>
        <v>Medium</v>
      </c>
      <c r="P413" t="str">
        <f>_xlfn.XLOOKUP(Orders[[#This Row],[Customer ID]],customers!$A$1:$A$1001,customers!$I$1:$I$1001,,0)</f>
        <v>Yes</v>
      </c>
    </row>
    <row r="414" spans="1:16" x14ac:dyDescent="0.25">
      <c r="A414" s="2" t="s">
        <v>2813</v>
      </c>
      <c r="B414" s="3">
        <v>44410</v>
      </c>
      <c r="C414" s="2" t="s">
        <v>2814</v>
      </c>
      <c r="D414" t="s">
        <v>6155</v>
      </c>
      <c r="E414" s="2">
        <v>5</v>
      </c>
      <c r="F414" s="2" t="str">
        <f>_xlfn.XLOOKUP(orders!C414,customers!$A$2:$A$1001,customers!$B$2:$B$1001)</f>
        <v>Freeland Missenden</v>
      </c>
      <c r="G414" s="2" t="str">
        <f>IF(_xlfn.XLOOKUP(C414,customers!$A$2:$A$1001,customers!$C$2:$C$1001,,)=0,"",_xlfn.XLOOKUP(C414,customers!$A$2:$A$1001,customers!$C$2:$C$1001,,))</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cm="1">
        <f t="array" ref="N414">_xlfn.IFS(I414="Rob","Robusta",I414="Exc","Excelsa",I414="Ara","Arabica",I414="Lib","Liberica")</f>
        <v>Arabica</v>
      </c>
      <c r="O414" t="str" cm="1">
        <f t="array" ref="O414">_xlfn.IFS(J414="M","Medium",J414="L","Light",J414="D","Dark")</f>
        <v>Medium</v>
      </c>
      <c r="P414" t="str">
        <f>_xlfn.XLOOKUP(Orders[[#This Row],[Customer ID]],customers!$A$1:$A$1001,customers!$I$1:$I$1001,,0)</f>
        <v>Yes</v>
      </c>
    </row>
    <row r="415" spans="1:16" x14ac:dyDescent="0.25">
      <c r="A415" s="2" t="s">
        <v>2818</v>
      </c>
      <c r="B415" s="3">
        <v>43857</v>
      </c>
      <c r="C415" s="2" t="s">
        <v>2819</v>
      </c>
      <c r="D415" t="s">
        <v>6164</v>
      </c>
      <c r="E415" s="2">
        <v>1</v>
      </c>
      <c r="F415" s="2" t="str">
        <f>_xlfn.XLOOKUP(orders!C415,customers!$A$2:$A$1001,customers!$B$2:$B$1001)</f>
        <v>Waylan Springall</v>
      </c>
      <c r="G415" s="2" t="str">
        <f>IF(_xlfn.XLOOKUP(C415,customers!$A$2:$A$1001,customers!$C$2:$C$1001,,)=0,"",_xlfn.XLOOKUP(C415,customers!$A$2:$A$1001,customers!$C$2:$C$1001,,))</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cm="1">
        <f t="array" ref="N415">_xlfn.IFS(I415="Rob","Robusta",I415="Exc","Excelsa",I415="Ara","Arabica",I415="Lib","Liberica")</f>
        <v>Liberica</v>
      </c>
      <c r="O415" t="str" cm="1">
        <f t="array" ref="O415">_xlfn.IFS(J415="M","Medium",J415="L","Light",J415="D","Dark")</f>
        <v>Light</v>
      </c>
      <c r="P415" t="str">
        <f>_xlfn.XLOOKUP(Orders[[#This Row],[Customer ID]],customers!$A$1:$A$1001,customers!$I$1:$I$1001,,0)</f>
        <v>Yes</v>
      </c>
    </row>
    <row r="416" spans="1:16" x14ac:dyDescent="0.25">
      <c r="A416" s="2" t="s">
        <v>2824</v>
      </c>
      <c r="B416" s="3">
        <v>43802</v>
      </c>
      <c r="C416" s="2" t="s">
        <v>2825</v>
      </c>
      <c r="D416" t="s">
        <v>6178</v>
      </c>
      <c r="E416" s="2">
        <v>3</v>
      </c>
      <c r="F416" s="2" t="str">
        <f>_xlfn.XLOOKUP(orders!C416,customers!$A$2:$A$1001,customers!$B$2:$B$1001)</f>
        <v>Kiri Avramow</v>
      </c>
      <c r="G416" s="2" t="str">
        <f>IF(_xlfn.XLOOKUP(C416,customers!$A$2:$A$1001,customers!$C$2:$C$1001,,)=0,"",_xlfn.XLOOKUP(C416,customers!$A$2:$A$1001,customers!$C$2:$C$1001,,))</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cm="1">
        <f t="array" ref="N416">_xlfn.IFS(I416="Rob","Robusta",I416="Exc","Excelsa",I416="Ara","Arabica",I416="Lib","Liberica")</f>
        <v>Robusta</v>
      </c>
      <c r="O416" t="str" cm="1">
        <f t="array" ref="O416">_xlfn.IFS(J416="M","Medium",J416="L","Light",J416="D","Dark")</f>
        <v>Light</v>
      </c>
      <c r="P416" t="str">
        <f>_xlfn.XLOOKUP(Orders[[#This Row],[Customer ID]],customers!$A$1:$A$1001,customers!$I$1:$I$1001,,0)</f>
        <v>Yes</v>
      </c>
    </row>
    <row r="417" spans="1:16" x14ac:dyDescent="0.25">
      <c r="A417" s="2" t="s">
        <v>2829</v>
      </c>
      <c r="B417" s="3">
        <v>43683</v>
      </c>
      <c r="C417" s="2" t="s">
        <v>2830</v>
      </c>
      <c r="D417" t="s">
        <v>6174</v>
      </c>
      <c r="E417" s="2">
        <v>3</v>
      </c>
      <c r="F417" s="2" t="str">
        <f>_xlfn.XLOOKUP(orders!C417,customers!$A$2:$A$1001,customers!$B$2:$B$1001)</f>
        <v>Gregg Hawkyens</v>
      </c>
      <c r="G417" s="2" t="str">
        <f>IF(_xlfn.XLOOKUP(C417,customers!$A$2:$A$1001,customers!$C$2:$C$1001,,)=0,"",_xlfn.XLOOKUP(C417,customers!$A$2:$A$1001,customers!$C$2:$C$1001,,))</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cm="1">
        <f t="array" ref="N417">_xlfn.IFS(I417="Rob","Robusta",I417="Exc","Excelsa",I417="Ara","Arabica",I417="Lib","Liberica")</f>
        <v>Robusta</v>
      </c>
      <c r="O417" t="str" cm="1">
        <f t="array" ref="O417">_xlfn.IFS(J417="M","Medium",J417="L","Light",J417="D","Dark")</f>
        <v>Medium</v>
      </c>
      <c r="P417" t="str">
        <f>_xlfn.XLOOKUP(Orders[[#This Row],[Customer ID]],customers!$A$1:$A$1001,customers!$I$1:$I$1001,,0)</f>
        <v>No</v>
      </c>
    </row>
    <row r="418" spans="1:16" x14ac:dyDescent="0.25">
      <c r="A418" s="2" t="s">
        <v>2834</v>
      </c>
      <c r="B418" s="3">
        <v>43901</v>
      </c>
      <c r="C418" s="2" t="s">
        <v>2835</v>
      </c>
      <c r="D418" t="s">
        <v>6180</v>
      </c>
      <c r="E418" s="2">
        <v>3</v>
      </c>
      <c r="F418" s="2" t="str">
        <f>_xlfn.XLOOKUP(orders!C418,customers!$A$2:$A$1001,customers!$B$2:$B$1001)</f>
        <v>Reggis Pracy</v>
      </c>
      <c r="G418" s="2" t="str">
        <f>IF(_xlfn.XLOOKUP(C418,customers!$A$2:$A$1001,customers!$C$2:$C$1001,,)=0,"",_xlfn.XLOOKUP(C418,customers!$A$2:$A$1001,customers!$C$2:$C$1001,,))</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cm="1">
        <f t="array" ref="N418">_xlfn.IFS(I418="Rob","Robusta",I418="Exc","Excelsa",I418="Ara","Arabica",I418="Lib","Liberica")</f>
        <v>Arabica</v>
      </c>
      <c r="O418" t="str" cm="1">
        <f t="array" ref="O418">_xlfn.IFS(J418="M","Medium",J418="L","Light",J418="D","Dark")</f>
        <v>Light</v>
      </c>
      <c r="P418" t="str">
        <f>_xlfn.XLOOKUP(Orders[[#This Row],[Customer ID]],customers!$A$1:$A$1001,customers!$I$1:$I$1001,,0)</f>
        <v>Yes</v>
      </c>
    </row>
    <row r="419" spans="1:16" x14ac:dyDescent="0.25">
      <c r="A419" s="2" t="s">
        <v>2839</v>
      </c>
      <c r="B419" s="3">
        <v>44457</v>
      </c>
      <c r="C419" s="2" t="s">
        <v>2840</v>
      </c>
      <c r="D419" t="s">
        <v>6182</v>
      </c>
      <c r="E419" s="2">
        <v>1</v>
      </c>
      <c r="F419" s="2" t="str">
        <f>_xlfn.XLOOKUP(orders!C419,customers!$A$2:$A$1001,customers!$B$2:$B$1001)</f>
        <v>Paula Denis</v>
      </c>
      <c r="G419" s="2" t="str">
        <f>IF(_xlfn.XLOOKUP(C419,customers!$A$2:$A$1001,customers!$C$2:$C$1001,,)=0,"",_xlfn.XLOOKUP(C419,customers!$A$2:$A$1001,customers!$C$2:$C$1001,,))</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cm="1">
        <f t="array" ref="N419">_xlfn.IFS(I419="Rob","Robusta",I419="Exc","Excelsa",I419="Ara","Arabica",I419="Lib","Liberica")</f>
        <v>Arabica</v>
      </c>
      <c r="O419" t="str" cm="1">
        <f t="array" ref="O419">_xlfn.IFS(J419="M","Medium",J419="L","Light",J419="D","Dark")</f>
        <v>Light</v>
      </c>
      <c r="P419" t="str">
        <f>_xlfn.XLOOKUP(Orders[[#This Row],[Customer ID]],customers!$A$1:$A$1001,customers!$I$1:$I$1001,,0)</f>
        <v>Yes</v>
      </c>
    </row>
    <row r="420" spans="1:16" x14ac:dyDescent="0.25">
      <c r="A420" s="2" t="s">
        <v>2844</v>
      </c>
      <c r="B420" s="3">
        <v>44142</v>
      </c>
      <c r="C420" s="2" t="s">
        <v>2845</v>
      </c>
      <c r="D420" t="s">
        <v>6182</v>
      </c>
      <c r="E420" s="2">
        <v>5</v>
      </c>
      <c r="F420" s="2" t="str">
        <f>_xlfn.XLOOKUP(orders!C420,customers!$A$2:$A$1001,customers!$B$2:$B$1001)</f>
        <v>Broderick McGilvra</v>
      </c>
      <c r="G420" s="2" t="str">
        <f>IF(_xlfn.XLOOKUP(C420,customers!$A$2:$A$1001,customers!$C$2:$C$1001,,)=0,"",_xlfn.XLOOKUP(C420,customers!$A$2:$A$1001,customers!$C$2:$C$1001,,))</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cm="1">
        <f t="array" ref="N420">_xlfn.IFS(I420="Rob","Robusta",I420="Exc","Excelsa",I420="Ara","Arabica",I420="Lib","Liberica")</f>
        <v>Arabica</v>
      </c>
      <c r="O420" t="str" cm="1">
        <f t="array" ref="O420">_xlfn.IFS(J420="M","Medium",J420="L","Light",J420="D","Dark")</f>
        <v>Light</v>
      </c>
      <c r="P420" t="str">
        <f>_xlfn.XLOOKUP(Orders[[#This Row],[Customer ID]],customers!$A$1:$A$1001,customers!$I$1:$I$1001,,0)</f>
        <v>Yes</v>
      </c>
    </row>
    <row r="421" spans="1:16" x14ac:dyDescent="0.25">
      <c r="A421" s="2" t="s">
        <v>2849</v>
      </c>
      <c r="B421" s="3">
        <v>44739</v>
      </c>
      <c r="C421" s="2" t="s">
        <v>2850</v>
      </c>
      <c r="D421" t="s">
        <v>6160</v>
      </c>
      <c r="E421" s="2">
        <v>1</v>
      </c>
      <c r="F421" s="2" t="str">
        <f>_xlfn.XLOOKUP(orders!C421,customers!$A$2:$A$1001,customers!$B$2:$B$1001)</f>
        <v>Annabella Danzey</v>
      </c>
      <c r="G421" s="2" t="str">
        <f>IF(_xlfn.XLOOKUP(C421,customers!$A$2:$A$1001,customers!$C$2:$C$1001,,)=0,"",_xlfn.XLOOKUP(C421,customers!$A$2:$A$1001,customers!$C$2:$C$1001,,))</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cm="1">
        <f t="array" ref="N421">_xlfn.IFS(I421="Rob","Robusta",I421="Exc","Excelsa",I421="Ara","Arabica",I421="Lib","Liberica")</f>
        <v>Liberica</v>
      </c>
      <c r="O421" t="str" cm="1">
        <f t="array" ref="O421">_xlfn.IFS(J421="M","Medium",J421="L","Light",J421="D","Dark")</f>
        <v>Medium</v>
      </c>
      <c r="P421" t="str">
        <f>_xlfn.XLOOKUP(Orders[[#This Row],[Customer ID]],customers!$A$1:$A$1001,customers!$I$1:$I$1001,,0)</f>
        <v>Yes</v>
      </c>
    </row>
    <row r="422" spans="1:16" x14ac:dyDescent="0.25">
      <c r="A422" s="2" t="s">
        <v>2855</v>
      </c>
      <c r="B422" s="3">
        <v>43866</v>
      </c>
      <c r="C422" s="2" t="s">
        <v>2586</v>
      </c>
      <c r="D422" t="s">
        <v>6169</v>
      </c>
      <c r="E422" s="2">
        <v>4</v>
      </c>
      <c r="F422" s="2" t="str">
        <f>_xlfn.XLOOKUP(orders!C422,customers!$A$2:$A$1001,customers!$B$2:$B$1001)</f>
        <v>Terri Farra</v>
      </c>
      <c r="G422" s="2" t="str">
        <f>IF(_xlfn.XLOOKUP(C422,customers!$A$2:$A$1001,customers!$C$2:$C$1001,,)=0,"",_xlfn.XLOOKUP(C422,customers!$A$2:$A$1001,customers!$C$2:$C$1001,,))</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cm="1">
        <f t="array" ref="N422">_xlfn.IFS(I422="Rob","Robusta",I422="Exc","Excelsa",I422="Ara","Arabica",I422="Lib","Liberica")</f>
        <v>Liberica</v>
      </c>
      <c r="O422" t="str" cm="1">
        <f t="array" ref="O422">_xlfn.IFS(J422="M","Medium",J422="L","Light",J422="D","Dark")</f>
        <v>Dark</v>
      </c>
      <c r="P422" t="str">
        <f>_xlfn.XLOOKUP(Orders[[#This Row],[Customer ID]],customers!$A$1:$A$1001,customers!$I$1:$I$1001,,0)</f>
        <v>No</v>
      </c>
    </row>
    <row r="423" spans="1:16" x14ac:dyDescent="0.25">
      <c r="A423" s="2" t="s">
        <v>2855</v>
      </c>
      <c r="B423" s="3">
        <v>43866</v>
      </c>
      <c r="C423" s="2" t="s">
        <v>2586</v>
      </c>
      <c r="D423" t="s">
        <v>6168</v>
      </c>
      <c r="E423" s="2">
        <v>6</v>
      </c>
      <c r="F423" s="2" t="str">
        <f>_xlfn.XLOOKUP(orders!C423,customers!$A$2:$A$1001,customers!$B$2:$B$1001)</f>
        <v>Terri Farra</v>
      </c>
      <c r="G423" s="2" t="str">
        <f>IF(_xlfn.XLOOKUP(C423,customers!$A$2:$A$1001,customers!$C$2:$C$1001,,)=0,"",_xlfn.XLOOKUP(C423,customers!$A$2:$A$1001,customers!$C$2:$C$1001,,))</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cm="1">
        <f t="array" ref="N423">_xlfn.IFS(I423="Rob","Robusta",I423="Exc","Excelsa",I423="Ara","Arabica",I423="Lib","Liberica")</f>
        <v>Arabica</v>
      </c>
      <c r="O423" t="str" cm="1">
        <f t="array" ref="O423">_xlfn.IFS(J423="M","Medium",J423="L","Light",J423="D","Dark")</f>
        <v>Dark</v>
      </c>
      <c r="P423" t="str">
        <f>_xlfn.XLOOKUP(Orders[[#This Row],[Customer ID]],customers!$A$1:$A$1001,customers!$I$1:$I$1001,,0)</f>
        <v>No</v>
      </c>
    </row>
    <row r="424" spans="1:16" x14ac:dyDescent="0.25">
      <c r="A424" s="2" t="s">
        <v>2866</v>
      </c>
      <c r="B424" s="3">
        <v>43868</v>
      </c>
      <c r="C424" s="2" t="s">
        <v>2867</v>
      </c>
      <c r="D424" t="s">
        <v>6158</v>
      </c>
      <c r="E424" s="2">
        <v>5</v>
      </c>
      <c r="F424" s="2" t="str">
        <f>_xlfn.XLOOKUP(orders!C424,customers!$A$2:$A$1001,customers!$B$2:$B$1001)</f>
        <v>Nevins Glowacz</v>
      </c>
      <c r="G424" s="2" t="str">
        <f>IF(_xlfn.XLOOKUP(C424,customers!$A$2:$A$1001,customers!$C$2:$C$1001,,)=0,"",_xlfn.XLOOKUP(C424,customers!$A$2:$A$1001,customers!$C$2:$C$1001,,))</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cm="1">
        <f t="array" ref="N424">_xlfn.IFS(I424="Rob","Robusta",I424="Exc","Excelsa",I424="Ara","Arabica",I424="Lib","Liberica")</f>
        <v>Arabica</v>
      </c>
      <c r="O424" t="str" cm="1">
        <f t="array" ref="O424">_xlfn.IFS(J424="M","Medium",J424="L","Light",J424="D","Dark")</f>
        <v>Dark</v>
      </c>
      <c r="P424" t="str">
        <f>_xlfn.XLOOKUP(Orders[[#This Row],[Customer ID]],customers!$A$1:$A$1001,customers!$I$1:$I$1001,,0)</f>
        <v>No</v>
      </c>
    </row>
    <row r="425" spans="1:16" x14ac:dyDescent="0.25">
      <c r="A425" s="2" t="s">
        <v>2871</v>
      </c>
      <c r="B425" s="3">
        <v>44183</v>
      </c>
      <c r="C425" s="2" t="s">
        <v>2872</v>
      </c>
      <c r="D425" t="s">
        <v>6146</v>
      </c>
      <c r="E425" s="2">
        <v>3</v>
      </c>
      <c r="F425" s="2" t="str">
        <f>_xlfn.XLOOKUP(orders!C425,customers!$A$2:$A$1001,customers!$B$2:$B$1001)</f>
        <v>Adelice Isabell</v>
      </c>
      <c r="G425" s="2" t="str">
        <f>IF(_xlfn.XLOOKUP(C425,customers!$A$2:$A$1001,customers!$C$2:$C$1001,,)=0,"",_xlfn.XLOOKUP(C425,customers!$A$2:$A$1001,customers!$C$2:$C$1001,,))</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cm="1">
        <f t="array" ref="N425">_xlfn.IFS(I425="Rob","Robusta",I425="Exc","Excelsa",I425="Ara","Arabica",I425="Lib","Liberica")</f>
        <v>Robusta</v>
      </c>
      <c r="O425" t="str" cm="1">
        <f t="array" ref="O425">_xlfn.IFS(J425="M","Medium",J425="L","Light",J425="D","Dark")</f>
        <v>Medium</v>
      </c>
      <c r="P425" t="str">
        <f>_xlfn.XLOOKUP(Orders[[#This Row],[Customer ID]],customers!$A$1:$A$1001,customers!$I$1:$I$1001,,0)</f>
        <v>No</v>
      </c>
    </row>
    <row r="426" spans="1:16" x14ac:dyDescent="0.25">
      <c r="A426" s="2" t="s">
        <v>2876</v>
      </c>
      <c r="B426" s="3">
        <v>44431</v>
      </c>
      <c r="C426" s="2" t="s">
        <v>2877</v>
      </c>
      <c r="D426" t="s">
        <v>6176</v>
      </c>
      <c r="E426" s="2">
        <v>3</v>
      </c>
      <c r="F426" s="2" t="str">
        <f>_xlfn.XLOOKUP(orders!C426,customers!$A$2:$A$1001,customers!$B$2:$B$1001)</f>
        <v>Yulma Dombrell</v>
      </c>
      <c r="G426" s="2" t="str">
        <f>IF(_xlfn.XLOOKUP(C426,customers!$A$2:$A$1001,customers!$C$2:$C$1001,,)=0,"",_xlfn.XLOOKUP(C426,customers!$A$2:$A$1001,customers!$C$2:$C$1001,,))</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cm="1">
        <f t="array" ref="N426">_xlfn.IFS(I426="Rob","Robusta",I426="Exc","Excelsa",I426="Ara","Arabica",I426="Lib","Liberica")</f>
        <v>Excelsa</v>
      </c>
      <c r="O426" t="str" cm="1">
        <f t="array" ref="O426">_xlfn.IFS(J426="M","Medium",J426="L","Light",J426="D","Dark")</f>
        <v>Light</v>
      </c>
      <c r="P426" t="str">
        <f>_xlfn.XLOOKUP(Orders[[#This Row],[Customer ID]],customers!$A$1:$A$1001,customers!$I$1:$I$1001,,0)</f>
        <v>Yes</v>
      </c>
    </row>
    <row r="427" spans="1:16" x14ac:dyDescent="0.25">
      <c r="A427" s="2" t="s">
        <v>2882</v>
      </c>
      <c r="B427" s="3">
        <v>44428</v>
      </c>
      <c r="C427" s="2" t="s">
        <v>2883</v>
      </c>
      <c r="D427" t="s">
        <v>6177</v>
      </c>
      <c r="E427" s="2">
        <v>2</v>
      </c>
      <c r="F427" s="2" t="str">
        <f>_xlfn.XLOOKUP(orders!C427,customers!$A$2:$A$1001,customers!$B$2:$B$1001)</f>
        <v>Alric Darth</v>
      </c>
      <c r="G427" s="2" t="str">
        <f>IF(_xlfn.XLOOKUP(C427,customers!$A$2:$A$1001,customers!$C$2:$C$1001,,)=0,"",_xlfn.XLOOKUP(C427,customers!$A$2:$A$1001,customers!$C$2:$C$1001,,))</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cm="1">
        <f t="array" ref="N427">_xlfn.IFS(I427="Rob","Robusta",I427="Exc","Excelsa",I427="Ara","Arabica",I427="Lib","Liberica")</f>
        <v>Robusta</v>
      </c>
      <c r="O427" t="str" cm="1">
        <f t="array" ref="O427">_xlfn.IFS(J427="M","Medium",J427="L","Light",J427="D","Dark")</f>
        <v>Dark</v>
      </c>
      <c r="P427" t="str">
        <f>_xlfn.XLOOKUP(Orders[[#This Row],[Customer ID]],customers!$A$1:$A$1001,customers!$I$1:$I$1001,,0)</f>
        <v>No</v>
      </c>
    </row>
    <row r="428" spans="1:16" x14ac:dyDescent="0.25">
      <c r="A428" s="2" t="s">
        <v>2888</v>
      </c>
      <c r="B428" s="3">
        <v>43556</v>
      </c>
      <c r="C428" s="2" t="s">
        <v>2889</v>
      </c>
      <c r="D428" t="s">
        <v>6178</v>
      </c>
      <c r="E428" s="2">
        <v>4</v>
      </c>
      <c r="F428" s="2" t="str">
        <f>_xlfn.XLOOKUP(orders!C428,customers!$A$2:$A$1001,customers!$B$2:$B$1001)</f>
        <v>Manuel Darrigoe</v>
      </c>
      <c r="G428" s="2" t="str">
        <f>IF(_xlfn.XLOOKUP(C428,customers!$A$2:$A$1001,customers!$C$2:$C$1001,,)=0,"",_xlfn.XLOOKUP(C428,customers!$A$2:$A$1001,customers!$C$2:$C$1001,,))</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cm="1">
        <f t="array" ref="N428">_xlfn.IFS(I428="Rob","Robusta",I428="Exc","Excelsa",I428="Ara","Arabica",I428="Lib","Liberica")</f>
        <v>Robusta</v>
      </c>
      <c r="O428" t="str" cm="1">
        <f t="array" ref="O428">_xlfn.IFS(J428="M","Medium",J428="L","Light",J428="D","Dark")</f>
        <v>Light</v>
      </c>
      <c r="P428" t="str">
        <f>_xlfn.XLOOKUP(Orders[[#This Row],[Customer ID]],customers!$A$1:$A$1001,customers!$I$1:$I$1001,,0)</f>
        <v>Yes</v>
      </c>
    </row>
    <row r="429" spans="1:16" x14ac:dyDescent="0.25">
      <c r="A429" s="2" t="s">
        <v>2894</v>
      </c>
      <c r="B429" s="3">
        <v>44224</v>
      </c>
      <c r="C429" s="2" t="s">
        <v>2895</v>
      </c>
      <c r="D429" t="s">
        <v>6175</v>
      </c>
      <c r="E429" s="2">
        <v>3</v>
      </c>
      <c r="F429" s="2" t="str">
        <f>_xlfn.XLOOKUP(orders!C429,customers!$A$2:$A$1001,customers!$B$2:$B$1001)</f>
        <v>Kynthia Berick</v>
      </c>
      <c r="G429" s="2" t="str">
        <f>IF(_xlfn.XLOOKUP(C429,customers!$A$2:$A$1001,customers!$C$2:$C$1001,,)=0,"",_xlfn.XLOOKUP(C429,customers!$A$2:$A$1001,customers!$C$2:$C$1001,,))</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cm="1">
        <f t="array" ref="N429">_xlfn.IFS(I429="Rob","Robusta",I429="Exc","Excelsa",I429="Ara","Arabica",I429="Lib","Liberica")</f>
        <v>Arabica</v>
      </c>
      <c r="O429" t="str" cm="1">
        <f t="array" ref="O429">_xlfn.IFS(J429="M","Medium",J429="L","Light",J429="D","Dark")</f>
        <v>Medium</v>
      </c>
      <c r="P429" t="str">
        <f>_xlfn.XLOOKUP(Orders[[#This Row],[Customer ID]],customers!$A$1:$A$1001,customers!$I$1:$I$1001,,0)</f>
        <v>Yes</v>
      </c>
    </row>
    <row r="430" spans="1:16" x14ac:dyDescent="0.25">
      <c r="A430" s="2" t="s">
        <v>2899</v>
      </c>
      <c r="B430" s="3">
        <v>43759</v>
      </c>
      <c r="C430" s="2" t="s">
        <v>2900</v>
      </c>
      <c r="D430" t="s">
        <v>6179</v>
      </c>
      <c r="E430" s="2">
        <v>5</v>
      </c>
      <c r="F430" s="2" t="str">
        <f>_xlfn.XLOOKUP(orders!C430,customers!$A$2:$A$1001,customers!$B$2:$B$1001)</f>
        <v>Minetta Ackrill</v>
      </c>
      <c r="G430" s="2" t="str">
        <f>IF(_xlfn.XLOOKUP(C430,customers!$A$2:$A$1001,customers!$C$2:$C$1001,,)=0,"",_xlfn.XLOOKUP(C430,customers!$A$2:$A$1001,customers!$C$2:$C$1001,,))</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cm="1">
        <f t="array" ref="N430">_xlfn.IFS(I430="Rob","Robusta",I430="Exc","Excelsa",I430="Ara","Arabica",I430="Lib","Liberica")</f>
        <v>Robusta</v>
      </c>
      <c r="O430" t="str" cm="1">
        <f t="array" ref="O430">_xlfn.IFS(J430="M","Medium",J430="L","Light",J430="D","Dark")</f>
        <v>Light</v>
      </c>
      <c r="P430" t="str">
        <f>_xlfn.XLOOKUP(Orders[[#This Row],[Customer ID]],customers!$A$1:$A$1001,customers!$I$1:$I$1001,,0)</f>
        <v>No</v>
      </c>
    </row>
    <row r="431" spans="1:16" x14ac:dyDescent="0.25">
      <c r="A431" s="2" t="s">
        <v>2905</v>
      </c>
      <c r="B431" s="3">
        <v>44367</v>
      </c>
      <c r="C431" s="2" t="s">
        <v>2586</v>
      </c>
      <c r="D431" t="s">
        <v>6140</v>
      </c>
      <c r="E431" s="2">
        <v>6</v>
      </c>
      <c r="F431" s="2" t="str">
        <f>_xlfn.XLOOKUP(orders!C431,customers!$A$2:$A$1001,customers!$B$2:$B$1001)</f>
        <v>Terri Farra</v>
      </c>
      <c r="G431" s="2" t="str">
        <f>IF(_xlfn.XLOOKUP(C431,customers!$A$2:$A$1001,customers!$C$2:$C$1001,,)=0,"",_xlfn.XLOOKUP(C431,customers!$A$2:$A$1001,customers!$C$2:$C$1001,,))</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cm="1">
        <f t="array" ref="N431">_xlfn.IFS(I431="Rob","Robusta",I431="Exc","Excelsa",I431="Ara","Arabica",I431="Lib","Liberica")</f>
        <v>Arabica</v>
      </c>
      <c r="O431" t="str" cm="1">
        <f t="array" ref="O431">_xlfn.IFS(J431="M","Medium",J431="L","Light",J431="D","Dark")</f>
        <v>Light</v>
      </c>
      <c r="P431" t="str">
        <f>_xlfn.XLOOKUP(Orders[[#This Row],[Customer ID]],customers!$A$1:$A$1001,customers!$I$1:$I$1001,,0)</f>
        <v>No</v>
      </c>
    </row>
    <row r="432" spans="1:16" x14ac:dyDescent="0.25">
      <c r="A432" s="2" t="s">
        <v>2911</v>
      </c>
      <c r="B432" s="3">
        <v>44504</v>
      </c>
      <c r="C432" s="2" t="s">
        <v>2912</v>
      </c>
      <c r="D432" t="s">
        <v>6163</v>
      </c>
      <c r="E432" s="2">
        <v>2</v>
      </c>
      <c r="F432" s="2" t="str">
        <f>_xlfn.XLOOKUP(orders!C432,customers!$A$2:$A$1001,customers!$B$2:$B$1001)</f>
        <v>Melosa Kippen</v>
      </c>
      <c r="G432" s="2" t="str">
        <f>IF(_xlfn.XLOOKUP(C432,customers!$A$2:$A$1001,customers!$C$2:$C$1001,,)=0,"",_xlfn.XLOOKUP(C432,customers!$A$2:$A$1001,customers!$C$2:$C$1001,,))</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cm="1">
        <f t="array" ref="N432">_xlfn.IFS(I432="Rob","Robusta",I432="Exc","Excelsa",I432="Ara","Arabica",I432="Lib","Liberica")</f>
        <v>Robusta</v>
      </c>
      <c r="O432" t="str" cm="1">
        <f t="array" ref="O432">_xlfn.IFS(J432="M","Medium",J432="L","Light",J432="D","Dark")</f>
        <v>Dark</v>
      </c>
      <c r="P432" t="str">
        <f>_xlfn.XLOOKUP(Orders[[#This Row],[Customer ID]],customers!$A$1:$A$1001,customers!$I$1:$I$1001,,0)</f>
        <v>Yes</v>
      </c>
    </row>
    <row r="433" spans="1:16" x14ac:dyDescent="0.25">
      <c r="A433" s="2" t="s">
        <v>2917</v>
      </c>
      <c r="B433" s="3">
        <v>44291</v>
      </c>
      <c r="C433" s="2" t="s">
        <v>2918</v>
      </c>
      <c r="D433" t="s">
        <v>6185</v>
      </c>
      <c r="E433" s="2">
        <v>3</v>
      </c>
      <c r="F433" s="2" t="str">
        <f>_xlfn.XLOOKUP(orders!C433,customers!$A$2:$A$1001,customers!$B$2:$B$1001)</f>
        <v>Witty Ranson</v>
      </c>
      <c r="G433" s="2" t="str">
        <f>IF(_xlfn.XLOOKUP(C433,customers!$A$2:$A$1001,customers!$C$2:$C$1001,,)=0,"",_xlfn.XLOOKUP(C433,customers!$A$2:$A$1001,customers!$C$2:$C$1001,,))</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cm="1">
        <f t="array" ref="N433">_xlfn.IFS(I433="Rob","Robusta",I433="Exc","Excelsa",I433="Ara","Arabica",I433="Lib","Liberica")</f>
        <v>Excelsa</v>
      </c>
      <c r="O433" t="str" cm="1">
        <f t="array" ref="O433">_xlfn.IFS(J433="M","Medium",J433="L","Light",J433="D","Dark")</f>
        <v>Dark</v>
      </c>
      <c r="P433" t="str">
        <f>_xlfn.XLOOKUP(Orders[[#This Row],[Customer ID]],customers!$A$1:$A$1001,customers!$I$1:$I$1001,,0)</f>
        <v>Yes</v>
      </c>
    </row>
    <row r="434" spans="1:16" x14ac:dyDescent="0.25">
      <c r="A434" s="2" t="s">
        <v>2923</v>
      </c>
      <c r="B434" s="3">
        <v>43808</v>
      </c>
      <c r="C434" s="2" t="s">
        <v>2924</v>
      </c>
      <c r="D434" t="s">
        <v>6155</v>
      </c>
      <c r="E434" s="2">
        <v>2</v>
      </c>
      <c r="F434" s="2" t="str">
        <f>_xlfn.XLOOKUP(orders!C434,customers!$A$2:$A$1001,customers!$B$2:$B$1001)</f>
        <v>Rod Gowdie</v>
      </c>
      <c r="G434" s="2" t="str">
        <f>IF(_xlfn.XLOOKUP(C434,customers!$A$2:$A$1001,customers!$C$2:$C$1001,,)=0,"",_xlfn.XLOOKUP(C434,customers!$A$2:$A$1001,customers!$C$2:$C$1001,,))</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cm="1">
        <f t="array" ref="N434">_xlfn.IFS(I434="Rob","Robusta",I434="Exc","Excelsa",I434="Ara","Arabica",I434="Lib","Liberica")</f>
        <v>Arabica</v>
      </c>
      <c r="O434" t="str" cm="1">
        <f t="array" ref="O434">_xlfn.IFS(J434="M","Medium",J434="L","Light",J434="D","Dark")</f>
        <v>Medium</v>
      </c>
      <c r="P434" t="str">
        <f>_xlfn.XLOOKUP(Orders[[#This Row],[Customer ID]],customers!$A$1:$A$1001,customers!$I$1:$I$1001,,0)</f>
        <v>No</v>
      </c>
    </row>
    <row r="435" spans="1:16" x14ac:dyDescent="0.25">
      <c r="A435" s="2" t="s">
        <v>2928</v>
      </c>
      <c r="B435" s="3">
        <v>44563</v>
      </c>
      <c r="C435" s="2" t="s">
        <v>2929</v>
      </c>
      <c r="D435" t="s">
        <v>6181</v>
      </c>
      <c r="E435" s="2">
        <v>6</v>
      </c>
      <c r="F435" s="2" t="str">
        <f>_xlfn.XLOOKUP(orders!C435,customers!$A$2:$A$1001,customers!$B$2:$B$1001)</f>
        <v>Lemuel Rignold</v>
      </c>
      <c r="G435" s="2" t="str">
        <f>IF(_xlfn.XLOOKUP(C435,customers!$A$2:$A$1001,customers!$C$2:$C$1001,,)=0,"",_xlfn.XLOOKUP(C435,customers!$A$2:$A$1001,customers!$C$2:$C$1001,,))</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cm="1">
        <f t="array" ref="N435">_xlfn.IFS(I435="Rob","Robusta",I435="Exc","Excelsa",I435="Ara","Arabica",I435="Lib","Liberica")</f>
        <v>Liberica</v>
      </c>
      <c r="O435" t="str" cm="1">
        <f t="array" ref="O435">_xlfn.IFS(J435="M","Medium",J435="L","Light",J435="D","Dark")</f>
        <v>Medium</v>
      </c>
      <c r="P435" t="str">
        <f>_xlfn.XLOOKUP(Orders[[#This Row],[Customer ID]],customers!$A$1:$A$1001,customers!$I$1:$I$1001,,0)</f>
        <v>Yes</v>
      </c>
    </row>
    <row r="436" spans="1:16" x14ac:dyDescent="0.25">
      <c r="A436" s="2" t="s">
        <v>2934</v>
      </c>
      <c r="B436" s="3">
        <v>43807</v>
      </c>
      <c r="C436" s="2" t="s">
        <v>2935</v>
      </c>
      <c r="D436" t="s">
        <v>6155</v>
      </c>
      <c r="E436" s="2">
        <v>6</v>
      </c>
      <c r="F436" s="2" t="str">
        <f>_xlfn.XLOOKUP(orders!C436,customers!$A$2:$A$1001,customers!$B$2:$B$1001)</f>
        <v>Nevsa Fields</v>
      </c>
      <c r="G436" s="2" t="str">
        <f>IF(_xlfn.XLOOKUP(C436,customers!$A$2:$A$1001,customers!$C$2:$C$1001,,)=0,"",_xlfn.XLOOKUP(C436,customers!$A$2:$A$1001,customers!$C$2:$C$1001,,))</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cm="1">
        <f t="array" ref="N436">_xlfn.IFS(I436="Rob","Robusta",I436="Exc","Excelsa",I436="Ara","Arabica",I436="Lib","Liberica")</f>
        <v>Arabica</v>
      </c>
      <c r="O436" t="str" cm="1">
        <f t="array" ref="O436">_xlfn.IFS(J436="M","Medium",J436="L","Light",J436="D","Dark")</f>
        <v>Medium</v>
      </c>
      <c r="P436" t="str">
        <f>_xlfn.XLOOKUP(Orders[[#This Row],[Customer ID]],customers!$A$1:$A$1001,customers!$I$1:$I$1001,,0)</f>
        <v>No</v>
      </c>
    </row>
    <row r="437" spans="1:16" x14ac:dyDescent="0.25">
      <c r="A437" s="2" t="s">
        <v>2939</v>
      </c>
      <c r="B437" s="3">
        <v>44528</v>
      </c>
      <c r="C437" s="2" t="s">
        <v>2940</v>
      </c>
      <c r="D437" t="s">
        <v>6139</v>
      </c>
      <c r="E437" s="2">
        <v>1</v>
      </c>
      <c r="F437" s="2" t="str">
        <f>_xlfn.XLOOKUP(orders!C437,customers!$A$2:$A$1001,customers!$B$2:$B$1001)</f>
        <v>Chance Rowthorn</v>
      </c>
      <c r="G437" s="2" t="str">
        <f>IF(_xlfn.XLOOKUP(C437,customers!$A$2:$A$1001,customers!$C$2:$C$1001,,)=0,"",_xlfn.XLOOKUP(C437,customers!$A$2:$A$1001,customers!$C$2:$C$1001,,))</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cm="1">
        <f t="array" ref="N437">_xlfn.IFS(I437="Rob","Robusta",I437="Exc","Excelsa",I437="Ara","Arabica",I437="Lib","Liberica")</f>
        <v>Excelsa</v>
      </c>
      <c r="O437" t="str" cm="1">
        <f t="array" ref="O437">_xlfn.IFS(J437="M","Medium",J437="L","Light",J437="D","Dark")</f>
        <v>Medium</v>
      </c>
      <c r="P437" t="str">
        <f>_xlfn.XLOOKUP(Orders[[#This Row],[Customer ID]],customers!$A$1:$A$1001,customers!$I$1:$I$1001,,0)</f>
        <v>No</v>
      </c>
    </row>
    <row r="438" spans="1:16" x14ac:dyDescent="0.25">
      <c r="A438" s="2" t="s">
        <v>2945</v>
      </c>
      <c r="B438" s="3">
        <v>44631</v>
      </c>
      <c r="C438" s="2" t="s">
        <v>2946</v>
      </c>
      <c r="D438" t="s">
        <v>6145</v>
      </c>
      <c r="E438" s="2">
        <v>2</v>
      </c>
      <c r="F438" s="2" t="str">
        <f>_xlfn.XLOOKUP(orders!C438,customers!$A$2:$A$1001,customers!$B$2:$B$1001)</f>
        <v>Orly Ryland</v>
      </c>
      <c r="G438" s="2" t="str">
        <f>IF(_xlfn.XLOOKUP(C438,customers!$A$2:$A$1001,customers!$C$2:$C$1001,,)=0,"",_xlfn.XLOOKUP(C438,customers!$A$2:$A$1001,customers!$C$2:$C$1001,,))</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cm="1">
        <f t="array" ref="N438">_xlfn.IFS(I438="Rob","Robusta",I438="Exc","Excelsa",I438="Ara","Arabica",I438="Lib","Liberica")</f>
        <v>Liberica</v>
      </c>
      <c r="O438" t="str" cm="1">
        <f t="array" ref="O438">_xlfn.IFS(J438="M","Medium",J438="L","Light",J438="D","Dark")</f>
        <v>Light</v>
      </c>
      <c r="P438" t="str">
        <f>_xlfn.XLOOKUP(Orders[[#This Row],[Customer ID]],customers!$A$1:$A$1001,customers!$I$1:$I$1001,,0)</f>
        <v>Yes</v>
      </c>
    </row>
    <row r="439" spans="1:16" x14ac:dyDescent="0.25">
      <c r="A439" s="2" t="s">
        <v>2951</v>
      </c>
      <c r="B439" s="3">
        <v>44213</v>
      </c>
      <c r="C439" s="2" t="s">
        <v>2952</v>
      </c>
      <c r="D439" t="s">
        <v>6165</v>
      </c>
      <c r="E439" s="2">
        <v>1</v>
      </c>
      <c r="F439" s="2" t="str">
        <f>_xlfn.XLOOKUP(orders!C439,customers!$A$2:$A$1001,customers!$B$2:$B$1001)</f>
        <v>Willabella Abramski</v>
      </c>
      <c r="G439" s="2" t="str">
        <f>IF(_xlfn.XLOOKUP(C439,customers!$A$2:$A$1001,customers!$C$2:$C$1001,,)=0,"",_xlfn.XLOOKUP(C439,customers!$A$2:$A$1001,customers!$C$2:$C$1001,,))</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cm="1">
        <f t="array" ref="N439">_xlfn.IFS(I439="Rob","Robusta",I439="Exc","Excelsa",I439="Ara","Arabica",I439="Lib","Liberica")</f>
        <v>Liberica</v>
      </c>
      <c r="O439" t="str" cm="1">
        <f t="array" ref="O439">_xlfn.IFS(J439="M","Medium",J439="L","Light",J439="D","Dark")</f>
        <v>Dark</v>
      </c>
      <c r="P439" t="str">
        <f>_xlfn.XLOOKUP(Orders[[#This Row],[Customer ID]],customers!$A$1:$A$1001,customers!$I$1:$I$1001,,0)</f>
        <v>No</v>
      </c>
    </row>
    <row r="440" spans="1:16" x14ac:dyDescent="0.25">
      <c r="A440" s="2" t="s">
        <v>2956</v>
      </c>
      <c r="B440" s="3">
        <v>43483</v>
      </c>
      <c r="C440" s="2" t="s">
        <v>3042</v>
      </c>
      <c r="D440" t="s">
        <v>6169</v>
      </c>
      <c r="E440" s="2">
        <v>2</v>
      </c>
      <c r="F440" s="2" t="str">
        <f>_xlfn.XLOOKUP(orders!C440,customers!$A$2:$A$1001,customers!$B$2:$B$1001)</f>
        <v>Morgen Seson</v>
      </c>
      <c r="G440" s="2" t="str">
        <f>IF(_xlfn.XLOOKUP(C440,customers!$A$2:$A$1001,customers!$C$2:$C$1001,,)=0,"",_xlfn.XLOOKUP(C440,customers!$A$2:$A$1001,customers!$C$2:$C$1001,,))</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cm="1">
        <f t="array" ref="N440">_xlfn.IFS(I440="Rob","Robusta",I440="Exc","Excelsa",I440="Ara","Arabica",I440="Lib","Liberica")</f>
        <v>Liberica</v>
      </c>
      <c r="O440" t="str" cm="1">
        <f t="array" ref="O440">_xlfn.IFS(J440="M","Medium",J440="L","Light",J440="D","Dark")</f>
        <v>Dark</v>
      </c>
      <c r="P440" t="str">
        <f>_xlfn.XLOOKUP(Orders[[#This Row],[Customer ID]],customers!$A$1:$A$1001,customers!$I$1:$I$1001,,0)</f>
        <v>No</v>
      </c>
    </row>
    <row r="441" spans="1:16" x14ac:dyDescent="0.25">
      <c r="A441" s="2" t="s">
        <v>2962</v>
      </c>
      <c r="B441" s="3">
        <v>43562</v>
      </c>
      <c r="C441" s="2" t="s">
        <v>2963</v>
      </c>
      <c r="D441" t="s">
        <v>6176</v>
      </c>
      <c r="E441" s="2">
        <v>4</v>
      </c>
      <c r="F441" s="2" t="str">
        <f>_xlfn.XLOOKUP(orders!C441,customers!$A$2:$A$1001,customers!$B$2:$B$1001)</f>
        <v>Chickie Ragless</v>
      </c>
      <c r="G441" s="2" t="str">
        <f>IF(_xlfn.XLOOKUP(C441,customers!$A$2:$A$1001,customers!$C$2:$C$1001,,)=0,"",_xlfn.XLOOKUP(C441,customers!$A$2:$A$1001,customers!$C$2:$C$1001,,))</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cm="1">
        <f t="array" ref="N441">_xlfn.IFS(I441="Rob","Robusta",I441="Exc","Excelsa",I441="Ara","Arabica",I441="Lib","Liberica")</f>
        <v>Excelsa</v>
      </c>
      <c r="O441" t="str" cm="1">
        <f t="array" ref="O441">_xlfn.IFS(J441="M","Medium",J441="L","Light",J441="D","Dark")</f>
        <v>Light</v>
      </c>
      <c r="P441" t="str">
        <f>_xlfn.XLOOKUP(Orders[[#This Row],[Customer ID]],customers!$A$1:$A$1001,customers!$I$1:$I$1001,,0)</f>
        <v>No</v>
      </c>
    </row>
    <row r="442" spans="1:16" x14ac:dyDescent="0.25">
      <c r="A442" s="2" t="s">
        <v>2968</v>
      </c>
      <c r="B442" s="3">
        <v>44230</v>
      </c>
      <c r="C442" s="2" t="s">
        <v>2969</v>
      </c>
      <c r="D442" t="s">
        <v>6175</v>
      </c>
      <c r="E442" s="2">
        <v>4</v>
      </c>
      <c r="F442" s="2" t="str">
        <f>_xlfn.XLOOKUP(orders!C442,customers!$A$2:$A$1001,customers!$B$2:$B$1001)</f>
        <v>Freda Hollows</v>
      </c>
      <c r="G442" s="2" t="str">
        <f>IF(_xlfn.XLOOKUP(C442,customers!$A$2:$A$1001,customers!$C$2:$C$1001,,)=0,"",_xlfn.XLOOKUP(C442,customers!$A$2:$A$1001,customers!$C$2:$C$1001,,))</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cm="1">
        <f t="array" ref="N442">_xlfn.IFS(I442="Rob","Robusta",I442="Exc","Excelsa",I442="Ara","Arabica",I442="Lib","Liberica")</f>
        <v>Arabica</v>
      </c>
      <c r="O442" t="str" cm="1">
        <f t="array" ref="O442">_xlfn.IFS(J442="M","Medium",J442="L","Light",J442="D","Dark")</f>
        <v>Medium</v>
      </c>
      <c r="P442" t="str">
        <f>_xlfn.XLOOKUP(Orders[[#This Row],[Customer ID]],customers!$A$1:$A$1001,customers!$I$1:$I$1001,,0)</f>
        <v>Yes</v>
      </c>
    </row>
    <row r="443" spans="1:16" x14ac:dyDescent="0.25">
      <c r="A443" s="2" t="s">
        <v>2974</v>
      </c>
      <c r="B443" s="3">
        <v>43573</v>
      </c>
      <c r="C443" s="2" t="s">
        <v>2975</v>
      </c>
      <c r="D443" t="s">
        <v>6183</v>
      </c>
      <c r="E443" s="2">
        <v>3</v>
      </c>
      <c r="F443" s="2" t="str">
        <f>_xlfn.XLOOKUP(orders!C443,customers!$A$2:$A$1001,customers!$B$2:$B$1001)</f>
        <v>Livy Lathleiff</v>
      </c>
      <c r="G443" s="2" t="str">
        <f>IF(_xlfn.XLOOKUP(C443,customers!$A$2:$A$1001,customers!$C$2:$C$1001,,)=0,"",_xlfn.XLOOKUP(C443,customers!$A$2:$A$1001,customers!$C$2:$C$1001,,))</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cm="1">
        <f t="array" ref="N443">_xlfn.IFS(I443="Rob","Robusta",I443="Exc","Excelsa",I443="Ara","Arabica",I443="Lib","Liberica")</f>
        <v>Excelsa</v>
      </c>
      <c r="O443" t="str" cm="1">
        <f t="array" ref="O443">_xlfn.IFS(J443="M","Medium",J443="L","Light",J443="D","Dark")</f>
        <v>Dark</v>
      </c>
      <c r="P443" t="str">
        <f>_xlfn.XLOOKUP(Orders[[#This Row],[Customer ID]],customers!$A$1:$A$1001,customers!$I$1:$I$1001,,0)</f>
        <v>Yes</v>
      </c>
    </row>
    <row r="444" spans="1:16" x14ac:dyDescent="0.25">
      <c r="A444" s="2" t="s">
        <v>2980</v>
      </c>
      <c r="B444" s="3">
        <v>44384</v>
      </c>
      <c r="C444" s="2" t="s">
        <v>2981</v>
      </c>
      <c r="D444" t="s">
        <v>6173</v>
      </c>
      <c r="E444" s="2">
        <v>5</v>
      </c>
      <c r="F444" s="2" t="str">
        <f>_xlfn.XLOOKUP(orders!C444,customers!$A$2:$A$1001,customers!$B$2:$B$1001)</f>
        <v>Koralle Heads</v>
      </c>
      <c r="G444" s="2" t="str">
        <f>IF(_xlfn.XLOOKUP(C444,customers!$A$2:$A$1001,customers!$C$2:$C$1001,,)=0,"",_xlfn.XLOOKUP(C444,customers!$A$2:$A$1001,customers!$C$2:$C$1001,,))</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cm="1">
        <f t="array" ref="N444">_xlfn.IFS(I444="Rob","Robusta",I444="Exc","Excelsa",I444="Ara","Arabica",I444="Lib","Liberica")</f>
        <v>Robusta</v>
      </c>
      <c r="O444" t="str" cm="1">
        <f t="array" ref="O444">_xlfn.IFS(J444="M","Medium",J444="L","Light",J444="D","Dark")</f>
        <v>Light</v>
      </c>
      <c r="P444" t="str">
        <f>_xlfn.XLOOKUP(Orders[[#This Row],[Customer ID]],customers!$A$1:$A$1001,customers!$I$1:$I$1001,,0)</f>
        <v>No</v>
      </c>
    </row>
    <row r="445" spans="1:16" x14ac:dyDescent="0.25">
      <c r="A445" s="2" t="s">
        <v>2986</v>
      </c>
      <c r="B445" s="3">
        <v>44250</v>
      </c>
      <c r="C445" s="2" t="s">
        <v>2987</v>
      </c>
      <c r="D445" t="s">
        <v>6184</v>
      </c>
      <c r="E445" s="2">
        <v>5</v>
      </c>
      <c r="F445" s="2" t="str">
        <f>_xlfn.XLOOKUP(orders!C445,customers!$A$2:$A$1001,customers!$B$2:$B$1001)</f>
        <v>Theo Bowne</v>
      </c>
      <c r="G445" s="2" t="str">
        <f>IF(_xlfn.XLOOKUP(C445,customers!$A$2:$A$1001,customers!$C$2:$C$1001,,)=0,"",_xlfn.XLOOKUP(C445,customers!$A$2:$A$1001,customers!$C$2:$C$1001,,))</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cm="1">
        <f t="array" ref="N445">_xlfn.IFS(I445="Rob","Robusta",I445="Exc","Excelsa",I445="Ara","Arabica",I445="Lib","Liberica")</f>
        <v>Excelsa</v>
      </c>
      <c r="O445" t="str" cm="1">
        <f t="array" ref="O445">_xlfn.IFS(J445="M","Medium",J445="L","Light",J445="D","Dark")</f>
        <v>Light</v>
      </c>
      <c r="P445" t="str">
        <f>_xlfn.XLOOKUP(Orders[[#This Row],[Customer ID]],customers!$A$1:$A$1001,customers!$I$1:$I$1001,,0)</f>
        <v>Yes</v>
      </c>
    </row>
    <row r="446" spans="1:16" x14ac:dyDescent="0.25">
      <c r="A446" s="2" t="s">
        <v>2992</v>
      </c>
      <c r="B446" s="3">
        <v>44418</v>
      </c>
      <c r="C446" s="2" t="s">
        <v>2993</v>
      </c>
      <c r="D446" t="s">
        <v>6156</v>
      </c>
      <c r="E446" s="2">
        <v>6</v>
      </c>
      <c r="F446" s="2" t="str">
        <f>_xlfn.XLOOKUP(orders!C446,customers!$A$2:$A$1001,customers!$B$2:$B$1001)</f>
        <v>Rasia Jacquemard</v>
      </c>
      <c r="G446" s="2" t="str">
        <f>IF(_xlfn.XLOOKUP(C446,customers!$A$2:$A$1001,customers!$C$2:$C$1001,,)=0,"",_xlfn.XLOOKUP(C446,customers!$A$2:$A$1001,customers!$C$2:$C$1001,,))</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cm="1">
        <f t="array" ref="N446">_xlfn.IFS(I446="Rob","Robusta",I446="Exc","Excelsa",I446="Ara","Arabica",I446="Lib","Liberica")</f>
        <v>Excelsa</v>
      </c>
      <c r="O446" t="str" cm="1">
        <f t="array" ref="O446">_xlfn.IFS(J446="M","Medium",J446="L","Light",J446="D","Dark")</f>
        <v>Medium</v>
      </c>
      <c r="P446" t="str">
        <f>_xlfn.XLOOKUP(Orders[[#This Row],[Customer ID]],customers!$A$1:$A$1001,customers!$I$1:$I$1001,,0)</f>
        <v>No</v>
      </c>
    </row>
    <row r="447" spans="1:16" x14ac:dyDescent="0.25">
      <c r="A447" s="2" t="s">
        <v>2999</v>
      </c>
      <c r="B447" s="3">
        <v>43784</v>
      </c>
      <c r="C447" s="2" t="s">
        <v>3000</v>
      </c>
      <c r="D447" t="s">
        <v>6181</v>
      </c>
      <c r="E447" s="2">
        <v>2</v>
      </c>
      <c r="F447" s="2" t="str">
        <f>_xlfn.XLOOKUP(orders!C447,customers!$A$2:$A$1001,customers!$B$2:$B$1001)</f>
        <v>Kizzie Warman</v>
      </c>
      <c r="G447" s="2" t="str">
        <f>IF(_xlfn.XLOOKUP(C447,customers!$A$2:$A$1001,customers!$C$2:$C$1001,,)=0,"",_xlfn.XLOOKUP(C447,customers!$A$2:$A$1001,customers!$C$2:$C$1001,,))</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cm="1">
        <f t="array" ref="N447">_xlfn.IFS(I447="Rob","Robusta",I447="Exc","Excelsa",I447="Ara","Arabica",I447="Lib","Liberica")</f>
        <v>Liberica</v>
      </c>
      <c r="O447" t="str" cm="1">
        <f t="array" ref="O447">_xlfn.IFS(J447="M","Medium",J447="L","Light",J447="D","Dark")</f>
        <v>Medium</v>
      </c>
      <c r="P447" t="str">
        <f>_xlfn.XLOOKUP(Orders[[#This Row],[Customer ID]],customers!$A$1:$A$1001,customers!$I$1:$I$1001,,0)</f>
        <v>Yes</v>
      </c>
    </row>
    <row r="448" spans="1:16" x14ac:dyDescent="0.25">
      <c r="A448" s="2" t="s">
        <v>3004</v>
      </c>
      <c r="B448" s="3">
        <v>43816</v>
      </c>
      <c r="C448" s="2" t="s">
        <v>3005</v>
      </c>
      <c r="D448" t="s">
        <v>6160</v>
      </c>
      <c r="E448" s="2">
        <v>1</v>
      </c>
      <c r="F448" s="2" t="str">
        <f>_xlfn.XLOOKUP(orders!C448,customers!$A$2:$A$1001,customers!$B$2:$B$1001)</f>
        <v>Wain Cholomin</v>
      </c>
      <c r="G448" s="2" t="str">
        <f>IF(_xlfn.XLOOKUP(C448,customers!$A$2:$A$1001,customers!$C$2:$C$1001,,)=0,"",_xlfn.XLOOKUP(C448,customers!$A$2:$A$1001,customers!$C$2:$C$1001,,))</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cm="1">
        <f t="array" ref="N448">_xlfn.IFS(I448="Rob","Robusta",I448="Exc","Excelsa",I448="Ara","Arabica",I448="Lib","Liberica")</f>
        <v>Liberica</v>
      </c>
      <c r="O448" t="str" cm="1">
        <f t="array" ref="O448">_xlfn.IFS(J448="M","Medium",J448="L","Light",J448="D","Dark")</f>
        <v>Medium</v>
      </c>
      <c r="P448" t="str">
        <f>_xlfn.XLOOKUP(Orders[[#This Row],[Customer ID]],customers!$A$1:$A$1001,customers!$I$1:$I$1001,,0)</f>
        <v>Yes</v>
      </c>
    </row>
    <row r="449" spans="1:16" x14ac:dyDescent="0.25">
      <c r="A449" s="2" t="s">
        <v>3010</v>
      </c>
      <c r="B449" s="3">
        <v>43908</v>
      </c>
      <c r="C449" s="2" t="s">
        <v>3011</v>
      </c>
      <c r="D449" t="s">
        <v>6146</v>
      </c>
      <c r="E449" s="2">
        <v>3</v>
      </c>
      <c r="F449" s="2" t="str">
        <f>_xlfn.XLOOKUP(orders!C449,customers!$A$2:$A$1001,customers!$B$2:$B$1001)</f>
        <v>Arleen Braidman</v>
      </c>
      <c r="G449" s="2" t="str">
        <f>IF(_xlfn.XLOOKUP(C449,customers!$A$2:$A$1001,customers!$C$2:$C$1001,,)=0,"",_xlfn.XLOOKUP(C449,customers!$A$2:$A$1001,customers!$C$2:$C$1001,,))</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cm="1">
        <f t="array" ref="N449">_xlfn.IFS(I449="Rob","Robusta",I449="Exc","Excelsa",I449="Ara","Arabica",I449="Lib","Liberica")</f>
        <v>Robusta</v>
      </c>
      <c r="O449" t="str" cm="1">
        <f t="array" ref="O449">_xlfn.IFS(J449="M","Medium",J449="L","Light",J449="D","Dark")</f>
        <v>Medium</v>
      </c>
      <c r="P449" t="str">
        <f>_xlfn.XLOOKUP(Orders[[#This Row],[Customer ID]],customers!$A$1:$A$1001,customers!$I$1:$I$1001,,0)</f>
        <v>No</v>
      </c>
    </row>
    <row r="450" spans="1:16" x14ac:dyDescent="0.25">
      <c r="A450" s="2" t="s">
        <v>3015</v>
      </c>
      <c r="B450" s="3">
        <v>44718</v>
      </c>
      <c r="C450" s="2" t="s">
        <v>3016</v>
      </c>
      <c r="D450" t="s">
        <v>6173</v>
      </c>
      <c r="E450" s="2">
        <v>1</v>
      </c>
      <c r="F450" s="2" t="str">
        <f>_xlfn.XLOOKUP(orders!C450,customers!$A$2:$A$1001,customers!$B$2:$B$1001)</f>
        <v>Pru Durban</v>
      </c>
      <c r="G450" s="2" t="str">
        <f>IF(_xlfn.XLOOKUP(C450,customers!$A$2:$A$1001,customers!$C$2:$C$1001,,)=0,"",_xlfn.XLOOKUP(C450,customers!$A$2:$A$1001,customers!$C$2:$C$1001,,))</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cm="1">
        <f t="array" ref="N450">_xlfn.IFS(I450="Rob","Robusta",I450="Exc","Excelsa",I450="Ara","Arabica",I450="Lib","Liberica")</f>
        <v>Robusta</v>
      </c>
      <c r="O450" t="str" cm="1">
        <f t="array" ref="O450">_xlfn.IFS(J450="M","Medium",J450="L","Light",J450="D","Dark")</f>
        <v>Light</v>
      </c>
      <c r="P450" t="str">
        <f>_xlfn.XLOOKUP(Orders[[#This Row],[Customer ID]],customers!$A$1:$A$1001,customers!$I$1:$I$1001,,0)</f>
        <v>No</v>
      </c>
    </row>
    <row r="451" spans="1:16" x14ac:dyDescent="0.25">
      <c r="A451" s="2" t="s">
        <v>3021</v>
      </c>
      <c r="B451" s="3">
        <v>44336</v>
      </c>
      <c r="C451" s="2" t="s">
        <v>3022</v>
      </c>
      <c r="D451" t="s">
        <v>6163</v>
      </c>
      <c r="E451" s="2">
        <v>2</v>
      </c>
      <c r="F451" s="2" t="str">
        <f>_xlfn.XLOOKUP(orders!C451,customers!$A$2:$A$1001,customers!$B$2:$B$1001)</f>
        <v>Antone Harrold</v>
      </c>
      <c r="G451" s="2" t="str">
        <f>IF(_xlfn.XLOOKUP(C451,customers!$A$2:$A$1001,customers!$C$2:$C$1001,,)=0,"",_xlfn.XLOOKUP(C451,customers!$A$2:$A$1001,customers!$C$2:$C$1001,,))</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L451*E451</f>
        <v>5.3699999999999992</v>
      </c>
      <c r="N451" t="str" cm="1">
        <f t="array" ref="N451">_xlfn.IFS(I451="Rob","Robusta",I451="Exc","Excelsa",I451="Ara","Arabica",I451="Lib","Liberica")</f>
        <v>Robusta</v>
      </c>
      <c r="O451" t="str" cm="1">
        <f t="array" ref="O451">_xlfn.IFS(J451="M","Medium",J451="L","Light",J451="D","Dark")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_xlfn.XLOOKUP(orders!C452,customers!$A$2:$A$1001,customers!$B$2:$B$1001)</f>
        <v>Sim Pamphilon</v>
      </c>
      <c r="G452" s="2" t="str">
        <f>IF(_xlfn.XLOOKUP(C452,customers!$A$2:$A$1001,customers!$C$2:$C$1001,,)=0,"",_xlfn.XLOOKUP(C452,customers!$A$2:$A$1001,customers!$C$2:$C$1001,,))</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cm="1">
        <f t="array" ref="N452">_xlfn.IFS(I452="Rob","Robusta",I452="Exc","Excelsa",I452="Ara","Arabica",I452="Lib","Liberica")</f>
        <v>Liberica</v>
      </c>
      <c r="O452" t="str" cm="1">
        <f t="array" ref="O452">_xlfn.IFS(J452="M","Medium",J452="L","Light",J452="D","Dark")</f>
        <v>Light</v>
      </c>
      <c r="P452" t="str">
        <f>_xlfn.XLOOKUP(Orders[[#This Row],[Customer ID]],customers!$A$1:$A$1001,customers!$I$1:$I$1001,,0)</f>
        <v>No</v>
      </c>
    </row>
    <row r="453" spans="1:16" x14ac:dyDescent="0.25">
      <c r="A453" s="2" t="s">
        <v>3035</v>
      </c>
      <c r="B453" s="3">
        <v>43518</v>
      </c>
      <c r="C453" s="2" t="s">
        <v>3036</v>
      </c>
      <c r="D453" t="s">
        <v>6149</v>
      </c>
      <c r="E453" s="2">
        <v>2</v>
      </c>
      <c r="F453" s="2" t="str">
        <f>_xlfn.XLOOKUP(orders!C453,customers!$A$2:$A$1001,customers!$B$2:$B$1001)</f>
        <v>Mohandis Spurden</v>
      </c>
      <c r="G453" s="2" t="str">
        <f>IF(_xlfn.XLOOKUP(C453,customers!$A$2:$A$1001,customers!$C$2:$C$1001,,)=0,"",_xlfn.XLOOKUP(C453,customers!$A$2:$A$1001,customers!$C$2:$C$1001,,))</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cm="1">
        <f t="array" ref="N453">_xlfn.IFS(I453="Rob","Robusta",I453="Exc","Excelsa",I453="Ara","Arabica",I453="Lib","Liberica")</f>
        <v>Robusta</v>
      </c>
      <c r="O453" t="str" cm="1">
        <f t="array" ref="O453">_xlfn.IFS(J453="M","Medium",J453="L","Light",J453="D","Dark")</f>
        <v>Dark</v>
      </c>
      <c r="P453" t="str">
        <f>_xlfn.XLOOKUP(Orders[[#This Row],[Customer ID]],customers!$A$1:$A$1001,customers!$I$1:$I$1001,,0)</f>
        <v>Yes</v>
      </c>
    </row>
    <row r="454" spans="1:16" x14ac:dyDescent="0.25">
      <c r="A454" s="2" t="s">
        <v>3041</v>
      </c>
      <c r="B454" s="3">
        <v>44524</v>
      </c>
      <c r="C454" s="2" t="s">
        <v>3042</v>
      </c>
      <c r="D454" t="s">
        <v>6167</v>
      </c>
      <c r="E454" s="2">
        <v>3</v>
      </c>
      <c r="F454" s="2" t="str">
        <f>_xlfn.XLOOKUP(orders!C454,customers!$A$2:$A$1001,customers!$B$2:$B$1001)</f>
        <v>Morgen Seson</v>
      </c>
      <c r="G454" s="2" t="str">
        <f>IF(_xlfn.XLOOKUP(C454,customers!$A$2:$A$1001,customers!$C$2:$C$1001,,)=0,"",_xlfn.XLOOKUP(C454,customers!$A$2:$A$1001,customers!$C$2:$C$1001,,))</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cm="1">
        <f t="array" ref="N454">_xlfn.IFS(I454="Rob","Robusta",I454="Exc","Excelsa",I454="Ara","Arabica",I454="Lib","Liberica")</f>
        <v>Arabica</v>
      </c>
      <c r="O454" t="str" cm="1">
        <f t="array" ref="O454">_xlfn.IFS(J454="M","Medium",J454="L","Light",J454="D","Dark")</f>
        <v>Light</v>
      </c>
      <c r="P454" t="str">
        <f>_xlfn.XLOOKUP(Orders[[#This Row],[Customer ID]],customers!$A$1:$A$1001,customers!$I$1:$I$1001,,0)</f>
        <v>No</v>
      </c>
    </row>
    <row r="455" spans="1:16" x14ac:dyDescent="0.25">
      <c r="A455" s="2" t="s">
        <v>3047</v>
      </c>
      <c r="B455" s="3">
        <v>44579</v>
      </c>
      <c r="C455" s="2" t="s">
        <v>3048</v>
      </c>
      <c r="D455" t="s">
        <v>6161</v>
      </c>
      <c r="E455" s="2">
        <v>4</v>
      </c>
      <c r="F455" s="2" t="str">
        <f>_xlfn.XLOOKUP(orders!C455,customers!$A$2:$A$1001,customers!$B$2:$B$1001)</f>
        <v>Nalani Pirrone</v>
      </c>
      <c r="G455" s="2" t="str">
        <f>IF(_xlfn.XLOOKUP(C455,customers!$A$2:$A$1001,customers!$C$2:$C$1001,,)=0,"",_xlfn.XLOOKUP(C455,customers!$A$2:$A$1001,customers!$C$2:$C$1001,,))</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cm="1">
        <f t="array" ref="N455">_xlfn.IFS(I455="Rob","Robusta",I455="Exc","Excelsa",I455="Ara","Arabica",I455="Lib","Liberica")</f>
        <v>Liberica</v>
      </c>
      <c r="O455" t="str" cm="1">
        <f t="array" ref="O455">_xlfn.IFS(J455="M","Medium",J455="L","Light",J455="D","Dark")</f>
        <v>Light</v>
      </c>
      <c r="P455" t="str">
        <f>_xlfn.XLOOKUP(Orders[[#This Row],[Customer ID]],customers!$A$1:$A$1001,customers!$I$1:$I$1001,,0)</f>
        <v>No</v>
      </c>
    </row>
    <row r="456" spans="1:16" x14ac:dyDescent="0.25">
      <c r="A456" s="2" t="s">
        <v>3053</v>
      </c>
      <c r="B456" s="3">
        <v>44421</v>
      </c>
      <c r="C456" s="2" t="s">
        <v>3054</v>
      </c>
      <c r="D456" t="s">
        <v>6149</v>
      </c>
      <c r="E456" s="2">
        <v>4</v>
      </c>
      <c r="F456" s="2" t="str">
        <f>_xlfn.XLOOKUP(orders!C456,customers!$A$2:$A$1001,customers!$B$2:$B$1001)</f>
        <v>Reube Cawley</v>
      </c>
      <c r="G456" s="2" t="str">
        <f>IF(_xlfn.XLOOKUP(C456,customers!$A$2:$A$1001,customers!$C$2:$C$1001,,)=0,"",_xlfn.XLOOKUP(C456,customers!$A$2:$A$1001,customers!$C$2:$C$1001,,))</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cm="1">
        <f t="array" ref="N456">_xlfn.IFS(I456="Rob","Robusta",I456="Exc","Excelsa",I456="Ara","Arabica",I456="Lib","Liberica")</f>
        <v>Robusta</v>
      </c>
      <c r="O456" t="str" cm="1">
        <f t="array" ref="O456">_xlfn.IFS(J456="M","Medium",J456="L","Light",J456="D","Dark")</f>
        <v>Dark</v>
      </c>
      <c r="P456" t="str">
        <f>_xlfn.XLOOKUP(Orders[[#This Row],[Customer ID]],customers!$A$1:$A$1001,customers!$I$1:$I$1001,,0)</f>
        <v>Yes</v>
      </c>
    </row>
    <row r="457" spans="1:16" x14ac:dyDescent="0.25">
      <c r="A457" s="2" t="s">
        <v>3058</v>
      </c>
      <c r="B457" s="3">
        <v>43841</v>
      </c>
      <c r="C457" s="2" t="s">
        <v>3059</v>
      </c>
      <c r="D457" t="s">
        <v>6145</v>
      </c>
      <c r="E457" s="2">
        <v>2</v>
      </c>
      <c r="F457" s="2" t="str">
        <f>_xlfn.XLOOKUP(orders!C457,customers!$A$2:$A$1001,customers!$B$2:$B$1001)</f>
        <v>Stan Barribal</v>
      </c>
      <c r="G457" s="2" t="str">
        <f>IF(_xlfn.XLOOKUP(C457,customers!$A$2:$A$1001,customers!$C$2:$C$1001,,)=0,"",_xlfn.XLOOKUP(C457,customers!$A$2:$A$1001,customers!$C$2:$C$1001,,))</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cm="1">
        <f t="array" ref="N457">_xlfn.IFS(I457="Rob","Robusta",I457="Exc","Excelsa",I457="Ara","Arabica",I457="Lib","Liberica")</f>
        <v>Liberica</v>
      </c>
      <c r="O457" t="str" cm="1">
        <f t="array" ref="O457">_xlfn.IFS(J457="M","Medium",J457="L","Light",J457="D","Dark")</f>
        <v>Light</v>
      </c>
      <c r="P457" t="str">
        <f>_xlfn.XLOOKUP(Orders[[#This Row],[Customer ID]],customers!$A$1:$A$1001,customers!$I$1:$I$1001,,0)</f>
        <v>Yes</v>
      </c>
    </row>
    <row r="458" spans="1:16" x14ac:dyDescent="0.25">
      <c r="A458" s="2" t="s">
        <v>3064</v>
      </c>
      <c r="B458" s="3">
        <v>44017</v>
      </c>
      <c r="C458" s="2" t="s">
        <v>3065</v>
      </c>
      <c r="D458" t="s">
        <v>6149</v>
      </c>
      <c r="E458" s="2">
        <v>2</v>
      </c>
      <c r="F458" s="2" t="str">
        <f>_xlfn.XLOOKUP(orders!C458,customers!$A$2:$A$1001,customers!$B$2:$B$1001)</f>
        <v>Agnes Adamides</v>
      </c>
      <c r="G458" s="2" t="str">
        <f>IF(_xlfn.XLOOKUP(C458,customers!$A$2:$A$1001,customers!$C$2:$C$1001,,)=0,"",_xlfn.XLOOKUP(C458,customers!$A$2:$A$1001,customers!$C$2:$C$1001,,))</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cm="1">
        <f t="array" ref="N458">_xlfn.IFS(I458="Rob","Robusta",I458="Exc","Excelsa",I458="Ara","Arabica",I458="Lib","Liberica")</f>
        <v>Robusta</v>
      </c>
      <c r="O458" t="str" cm="1">
        <f t="array" ref="O458">_xlfn.IFS(J458="M","Medium",J458="L","Light",J458="D","Dark")</f>
        <v>Dark</v>
      </c>
      <c r="P458" t="str">
        <f>_xlfn.XLOOKUP(Orders[[#This Row],[Customer ID]],customers!$A$1:$A$1001,customers!$I$1:$I$1001,,0)</f>
        <v>No</v>
      </c>
    </row>
    <row r="459" spans="1:16" x14ac:dyDescent="0.25">
      <c r="A459" s="2" t="s">
        <v>3070</v>
      </c>
      <c r="B459" s="3">
        <v>43671</v>
      </c>
      <c r="C459" s="2" t="s">
        <v>3071</v>
      </c>
      <c r="D459" t="s">
        <v>6161</v>
      </c>
      <c r="E459" s="2">
        <v>5</v>
      </c>
      <c r="F459" s="2" t="str">
        <f>_xlfn.XLOOKUP(orders!C459,customers!$A$2:$A$1001,customers!$B$2:$B$1001)</f>
        <v>Carmelita Thowes</v>
      </c>
      <c r="G459" s="2" t="str">
        <f>IF(_xlfn.XLOOKUP(C459,customers!$A$2:$A$1001,customers!$C$2:$C$1001,,)=0,"",_xlfn.XLOOKUP(C459,customers!$A$2:$A$1001,customers!$C$2:$C$1001,,))</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cm="1">
        <f t="array" ref="N459">_xlfn.IFS(I459="Rob","Robusta",I459="Exc","Excelsa",I459="Ara","Arabica",I459="Lib","Liberica")</f>
        <v>Liberica</v>
      </c>
      <c r="O459" t="str" cm="1">
        <f t="array" ref="O459">_xlfn.IFS(J459="M","Medium",J459="L","Light",J459="D","Dark")</f>
        <v>Light</v>
      </c>
      <c r="P459" t="str">
        <f>_xlfn.XLOOKUP(Orders[[#This Row],[Customer ID]],customers!$A$1:$A$1001,customers!$I$1:$I$1001,,0)</f>
        <v>No</v>
      </c>
    </row>
    <row r="460" spans="1:16" x14ac:dyDescent="0.25">
      <c r="A460" s="2" t="s">
        <v>3076</v>
      </c>
      <c r="B460" s="3">
        <v>44707</v>
      </c>
      <c r="C460" s="2" t="s">
        <v>3077</v>
      </c>
      <c r="D460" t="s">
        <v>6155</v>
      </c>
      <c r="E460" s="2">
        <v>4</v>
      </c>
      <c r="F460" s="2" t="str">
        <f>_xlfn.XLOOKUP(orders!C460,customers!$A$2:$A$1001,customers!$B$2:$B$1001)</f>
        <v>Rodolfo Willoway</v>
      </c>
      <c r="G460" s="2" t="str">
        <f>IF(_xlfn.XLOOKUP(C460,customers!$A$2:$A$1001,customers!$C$2:$C$1001,,)=0,"",_xlfn.XLOOKUP(C460,customers!$A$2:$A$1001,customers!$C$2:$C$1001,,))</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cm="1">
        <f t="array" ref="N460">_xlfn.IFS(I460="Rob","Robusta",I460="Exc","Excelsa",I460="Ara","Arabica",I460="Lib","Liberica")</f>
        <v>Arabica</v>
      </c>
      <c r="O460" t="str" cm="1">
        <f t="array" ref="O460">_xlfn.IFS(J460="M","Medium",J460="L","Light",J460="D","Dark")</f>
        <v>Medium</v>
      </c>
      <c r="P460" t="str">
        <f>_xlfn.XLOOKUP(Orders[[#This Row],[Customer ID]],customers!$A$1:$A$1001,customers!$I$1:$I$1001,,0)</f>
        <v>No</v>
      </c>
    </row>
    <row r="461" spans="1:16" x14ac:dyDescent="0.25">
      <c r="A461" s="2" t="s">
        <v>3082</v>
      </c>
      <c r="B461" s="3">
        <v>43840</v>
      </c>
      <c r="C461" s="2" t="s">
        <v>3083</v>
      </c>
      <c r="D461" t="s">
        <v>6145</v>
      </c>
      <c r="E461" s="2">
        <v>5</v>
      </c>
      <c r="F461" s="2" t="str">
        <f>_xlfn.XLOOKUP(orders!C461,customers!$A$2:$A$1001,customers!$B$2:$B$1001)</f>
        <v>Alvis Elwin</v>
      </c>
      <c r="G461" s="2" t="str">
        <f>IF(_xlfn.XLOOKUP(C461,customers!$A$2:$A$1001,customers!$C$2:$C$1001,,)=0,"",_xlfn.XLOOKUP(C461,customers!$A$2:$A$1001,customers!$C$2:$C$1001,,))</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cm="1">
        <f t="array" ref="N461">_xlfn.IFS(I461="Rob","Robusta",I461="Exc","Excelsa",I461="Ara","Arabica",I461="Lib","Liberica")</f>
        <v>Liberica</v>
      </c>
      <c r="O461" t="str" cm="1">
        <f t="array" ref="O461">_xlfn.IFS(J461="M","Medium",J461="L","Light",J461="D","Dark")</f>
        <v>Light</v>
      </c>
      <c r="P461" t="str">
        <f>_xlfn.XLOOKUP(Orders[[#This Row],[Customer ID]],customers!$A$1:$A$1001,customers!$I$1:$I$1001,,0)</f>
        <v>No</v>
      </c>
    </row>
    <row r="462" spans="1:16" x14ac:dyDescent="0.25">
      <c r="A462" s="2" t="s">
        <v>3088</v>
      </c>
      <c r="B462" s="3">
        <v>43602</v>
      </c>
      <c r="C462" s="2" t="s">
        <v>3089</v>
      </c>
      <c r="D462" t="s">
        <v>6172</v>
      </c>
      <c r="E462" s="2">
        <v>3</v>
      </c>
      <c r="F462" s="2" t="str">
        <f>_xlfn.XLOOKUP(orders!C462,customers!$A$2:$A$1001,customers!$B$2:$B$1001)</f>
        <v>Araldo Bilbrook</v>
      </c>
      <c r="G462" s="2" t="str">
        <f>IF(_xlfn.XLOOKUP(C462,customers!$A$2:$A$1001,customers!$C$2:$C$1001,,)=0,"",_xlfn.XLOOKUP(C462,customers!$A$2:$A$1001,customers!$C$2:$C$1001,,))</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cm="1">
        <f t="array" ref="N462">_xlfn.IFS(I462="Rob","Robusta",I462="Exc","Excelsa",I462="Ara","Arabica",I462="Lib","Liberica")</f>
        <v>Robusta</v>
      </c>
      <c r="O462" t="str" cm="1">
        <f t="array" ref="O462">_xlfn.IFS(J462="M","Medium",J462="L","Light",J462="D","Dark")</f>
        <v>Dark</v>
      </c>
      <c r="P462" t="str">
        <f>_xlfn.XLOOKUP(Orders[[#This Row],[Customer ID]],customers!$A$1:$A$1001,customers!$I$1:$I$1001,,0)</f>
        <v>Yes</v>
      </c>
    </row>
    <row r="463" spans="1:16" x14ac:dyDescent="0.25">
      <c r="A463" s="2" t="s">
        <v>3094</v>
      </c>
      <c r="B463" s="3">
        <v>44036</v>
      </c>
      <c r="C463" s="2" t="s">
        <v>3095</v>
      </c>
      <c r="D463" t="s">
        <v>6163</v>
      </c>
      <c r="E463" s="2">
        <v>4</v>
      </c>
      <c r="F463" s="2" t="str">
        <f>_xlfn.XLOOKUP(orders!C463,customers!$A$2:$A$1001,customers!$B$2:$B$1001)</f>
        <v>Ransell McKall</v>
      </c>
      <c r="G463" s="2" t="str">
        <f>IF(_xlfn.XLOOKUP(C463,customers!$A$2:$A$1001,customers!$C$2:$C$1001,,)=0,"",_xlfn.XLOOKUP(C463,customers!$A$2:$A$1001,customers!$C$2:$C$1001,,))</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cm="1">
        <f t="array" ref="N463">_xlfn.IFS(I463="Rob","Robusta",I463="Exc","Excelsa",I463="Ara","Arabica",I463="Lib","Liberica")</f>
        <v>Robusta</v>
      </c>
      <c r="O463" t="str" cm="1">
        <f t="array" ref="O463">_xlfn.IFS(J463="M","Medium",J463="L","Light",J463="D","Dark")</f>
        <v>Dark</v>
      </c>
      <c r="P463" t="str">
        <f>_xlfn.XLOOKUP(Orders[[#This Row],[Customer ID]],customers!$A$1:$A$1001,customers!$I$1:$I$1001,,0)</f>
        <v>Yes</v>
      </c>
    </row>
    <row r="464" spans="1:16" x14ac:dyDescent="0.25">
      <c r="A464" s="2" t="s">
        <v>3100</v>
      </c>
      <c r="B464" s="3">
        <v>44124</v>
      </c>
      <c r="C464" s="2" t="s">
        <v>3101</v>
      </c>
      <c r="D464" t="s">
        <v>6147</v>
      </c>
      <c r="E464" s="2">
        <v>5</v>
      </c>
      <c r="F464" s="2" t="str">
        <f>_xlfn.XLOOKUP(orders!C464,customers!$A$2:$A$1001,customers!$B$2:$B$1001)</f>
        <v>Borg Daile</v>
      </c>
      <c r="G464" s="2" t="str">
        <f>IF(_xlfn.XLOOKUP(C464,customers!$A$2:$A$1001,customers!$C$2:$C$1001,,)=0,"",_xlfn.XLOOKUP(C464,customers!$A$2:$A$1001,customers!$C$2:$C$1001,,))</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cm="1">
        <f t="array" ref="N464">_xlfn.IFS(I464="Rob","Robusta",I464="Exc","Excelsa",I464="Ara","Arabica",I464="Lib","Liberica")</f>
        <v>Arabica</v>
      </c>
      <c r="O464" t="str" cm="1">
        <f t="array" ref="O464">_xlfn.IFS(J464="M","Medium",J464="L","Light",J464="D","Dark")</f>
        <v>Dark</v>
      </c>
      <c r="P464" t="str">
        <f>_xlfn.XLOOKUP(Orders[[#This Row],[Customer ID]],customers!$A$1:$A$1001,customers!$I$1:$I$1001,,0)</f>
        <v>Yes</v>
      </c>
    </row>
    <row r="465" spans="1:16" x14ac:dyDescent="0.25">
      <c r="A465" s="2" t="s">
        <v>3106</v>
      </c>
      <c r="B465" s="3">
        <v>43730</v>
      </c>
      <c r="C465" s="2" t="s">
        <v>3107</v>
      </c>
      <c r="D465" t="s">
        <v>6141</v>
      </c>
      <c r="E465" s="2">
        <v>2</v>
      </c>
      <c r="F465" s="2" t="str">
        <f>_xlfn.XLOOKUP(orders!C465,customers!$A$2:$A$1001,customers!$B$2:$B$1001)</f>
        <v>Adolphe Treherne</v>
      </c>
      <c r="G465" s="2" t="str">
        <f>IF(_xlfn.XLOOKUP(C465,customers!$A$2:$A$1001,customers!$C$2:$C$1001,,)=0,"",_xlfn.XLOOKUP(C465,customers!$A$2:$A$1001,customers!$C$2:$C$1001,,))</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cm="1">
        <f t="array" ref="N465">_xlfn.IFS(I465="Rob","Robusta",I465="Exc","Excelsa",I465="Ara","Arabica",I465="Lib","Liberica")</f>
        <v>Excelsa</v>
      </c>
      <c r="O465" t="str" cm="1">
        <f t="array" ref="O465">_xlfn.IFS(J465="M","Medium",J465="L","Light",J465="D","Dark")</f>
        <v>Medium</v>
      </c>
      <c r="P465" t="str">
        <f>_xlfn.XLOOKUP(Orders[[#This Row],[Customer ID]],customers!$A$1:$A$1001,customers!$I$1:$I$1001,,0)</f>
        <v>No</v>
      </c>
    </row>
    <row r="466" spans="1:16" x14ac:dyDescent="0.25">
      <c r="A466" s="2" t="s">
        <v>3112</v>
      </c>
      <c r="B466" s="3">
        <v>43989</v>
      </c>
      <c r="C466" s="2" t="s">
        <v>3113</v>
      </c>
      <c r="D466" t="s">
        <v>6165</v>
      </c>
      <c r="E466" s="2">
        <v>4</v>
      </c>
      <c r="F466" s="2" t="str">
        <f>_xlfn.XLOOKUP(orders!C466,customers!$A$2:$A$1001,customers!$B$2:$B$1001)</f>
        <v>Annetta Brentnall</v>
      </c>
      <c r="G466" s="2" t="str">
        <f>IF(_xlfn.XLOOKUP(C466,customers!$A$2:$A$1001,customers!$C$2:$C$1001,,)=0,"",_xlfn.XLOOKUP(C466,customers!$A$2:$A$1001,customers!$C$2:$C$1001,,))</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cm="1">
        <f t="array" ref="N466">_xlfn.IFS(I466="Rob","Robusta",I466="Exc","Excelsa",I466="Ara","Arabica",I466="Lib","Liberica")</f>
        <v>Liberica</v>
      </c>
      <c r="O466" t="str" cm="1">
        <f t="array" ref="O466">_xlfn.IFS(J466="M","Medium",J466="L","Light",J466="D","Dark")</f>
        <v>Dark</v>
      </c>
      <c r="P466" t="str">
        <f>_xlfn.XLOOKUP(Orders[[#This Row],[Customer ID]],customers!$A$1:$A$1001,customers!$I$1:$I$1001,,0)</f>
        <v>No</v>
      </c>
    </row>
    <row r="467" spans="1:16" x14ac:dyDescent="0.25">
      <c r="A467" s="2" t="s">
        <v>3118</v>
      </c>
      <c r="B467" s="3">
        <v>43814</v>
      </c>
      <c r="C467" s="2" t="s">
        <v>3119</v>
      </c>
      <c r="D467" t="s">
        <v>6149</v>
      </c>
      <c r="E467" s="2">
        <v>1</v>
      </c>
      <c r="F467" s="2" t="str">
        <f>_xlfn.XLOOKUP(orders!C467,customers!$A$2:$A$1001,customers!$B$2:$B$1001)</f>
        <v>Dick Drinkall</v>
      </c>
      <c r="G467" s="2" t="str">
        <f>IF(_xlfn.XLOOKUP(C467,customers!$A$2:$A$1001,customers!$C$2:$C$1001,,)=0,"",_xlfn.XLOOKUP(C467,customers!$A$2:$A$1001,customers!$C$2:$C$1001,,))</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cm="1">
        <f t="array" ref="N467">_xlfn.IFS(I467="Rob","Robusta",I467="Exc","Excelsa",I467="Ara","Arabica",I467="Lib","Liberica")</f>
        <v>Robusta</v>
      </c>
      <c r="O467" t="str" cm="1">
        <f t="array" ref="O467">_xlfn.IFS(J467="M","Medium",J467="L","Light",J467="D","Dark")</f>
        <v>Dark</v>
      </c>
      <c r="P467" t="str">
        <f>_xlfn.XLOOKUP(Orders[[#This Row],[Customer ID]],customers!$A$1:$A$1001,customers!$I$1:$I$1001,,0)</f>
        <v>Yes</v>
      </c>
    </row>
    <row r="468" spans="1:16" x14ac:dyDescent="0.25">
      <c r="A468" s="2" t="s">
        <v>3124</v>
      </c>
      <c r="B468" s="3">
        <v>44171</v>
      </c>
      <c r="C468" s="2" t="s">
        <v>3125</v>
      </c>
      <c r="D468" t="s">
        <v>6154</v>
      </c>
      <c r="E468" s="2">
        <v>3</v>
      </c>
      <c r="F468" s="2" t="str">
        <f>_xlfn.XLOOKUP(orders!C468,customers!$A$2:$A$1001,customers!$B$2:$B$1001)</f>
        <v>Dagny Kornel</v>
      </c>
      <c r="G468" s="2" t="str">
        <f>IF(_xlfn.XLOOKUP(C468,customers!$A$2:$A$1001,customers!$C$2:$C$1001,,)=0,"",_xlfn.XLOOKUP(C468,customers!$A$2:$A$1001,customers!$C$2:$C$1001,,))</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cm="1">
        <f t="array" ref="N468">_xlfn.IFS(I468="Rob","Robusta",I468="Exc","Excelsa",I468="Ara","Arabica",I468="Lib","Liberica")</f>
        <v>Arabica</v>
      </c>
      <c r="O468" t="str" cm="1">
        <f t="array" ref="O468">_xlfn.IFS(J468="M","Medium",J468="L","Light",J468="D","Dark")</f>
        <v>Dark</v>
      </c>
      <c r="P468" t="str">
        <f>_xlfn.XLOOKUP(Orders[[#This Row],[Customer ID]],customers!$A$1:$A$1001,customers!$I$1:$I$1001,,0)</f>
        <v>Yes</v>
      </c>
    </row>
    <row r="469" spans="1:16" x14ac:dyDescent="0.25">
      <c r="A469" s="2" t="s">
        <v>3130</v>
      </c>
      <c r="B469" s="3">
        <v>44536</v>
      </c>
      <c r="C469" s="2" t="s">
        <v>3131</v>
      </c>
      <c r="D469" t="s">
        <v>6158</v>
      </c>
      <c r="E469" s="2">
        <v>1</v>
      </c>
      <c r="F469" s="2" t="str">
        <f>_xlfn.XLOOKUP(orders!C469,customers!$A$2:$A$1001,customers!$B$2:$B$1001)</f>
        <v>Rhona Lequeux</v>
      </c>
      <c r="G469" s="2" t="str">
        <f>IF(_xlfn.XLOOKUP(C469,customers!$A$2:$A$1001,customers!$C$2:$C$1001,,)=0,"",_xlfn.XLOOKUP(C469,customers!$A$2:$A$1001,customers!$C$2:$C$1001,,))</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cm="1">
        <f t="array" ref="N469">_xlfn.IFS(I469="Rob","Robusta",I469="Exc","Excelsa",I469="Ara","Arabica",I469="Lib","Liberica")</f>
        <v>Arabica</v>
      </c>
      <c r="O469" t="str" cm="1">
        <f t="array" ref="O469">_xlfn.IFS(J469="M","Medium",J469="L","Light",J469="D","Dark")</f>
        <v>Dark</v>
      </c>
      <c r="P469" t="str">
        <f>_xlfn.XLOOKUP(Orders[[#This Row],[Customer ID]],customers!$A$1:$A$1001,customers!$I$1:$I$1001,,0)</f>
        <v>No</v>
      </c>
    </row>
    <row r="470" spans="1:16" x14ac:dyDescent="0.25">
      <c r="A470" s="2" t="s">
        <v>3136</v>
      </c>
      <c r="B470" s="3">
        <v>44023</v>
      </c>
      <c r="C470" s="2" t="s">
        <v>3137</v>
      </c>
      <c r="D470" t="s">
        <v>6141</v>
      </c>
      <c r="E470" s="2">
        <v>3</v>
      </c>
      <c r="F470" s="2" t="str">
        <f>_xlfn.XLOOKUP(orders!C470,customers!$A$2:$A$1001,customers!$B$2:$B$1001)</f>
        <v>Julius Mccaull</v>
      </c>
      <c r="G470" s="2" t="str">
        <f>IF(_xlfn.XLOOKUP(C470,customers!$A$2:$A$1001,customers!$C$2:$C$1001,,)=0,"",_xlfn.XLOOKUP(C470,customers!$A$2:$A$1001,customers!$C$2:$C$1001,,))</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cm="1">
        <f t="array" ref="N470">_xlfn.IFS(I470="Rob","Robusta",I470="Exc","Excelsa",I470="Ara","Arabica",I470="Lib","Liberica")</f>
        <v>Excelsa</v>
      </c>
      <c r="O470" t="str" cm="1">
        <f t="array" ref="O470">_xlfn.IFS(J470="M","Medium",J470="L","Light",J470="D","Dark")</f>
        <v>Medium</v>
      </c>
      <c r="P470" t="str">
        <f>_xlfn.XLOOKUP(Orders[[#This Row],[Customer ID]],customers!$A$1:$A$1001,customers!$I$1:$I$1001,,0)</f>
        <v>Yes</v>
      </c>
    </row>
    <row r="471" spans="1:16" x14ac:dyDescent="0.25">
      <c r="A471" s="2" t="s">
        <v>3141</v>
      </c>
      <c r="B471" s="3">
        <v>44375</v>
      </c>
      <c r="C471" s="2" t="s">
        <v>3194</v>
      </c>
      <c r="D471" t="s">
        <v>6184</v>
      </c>
      <c r="E471" s="2">
        <v>5</v>
      </c>
      <c r="F471" s="2" t="str">
        <f>_xlfn.XLOOKUP(orders!C471,customers!$A$2:$A$1001,customers!$B$2:$B$1001)</f>
        <v>Ailey Brash</v>
      </c>
      <c r="G471" s="2" t="str">
        <f>IF(_xlfn.XLOOKUP(C471,customers!$A$2:$A$1001,customers!$C$2:$C$1001,,)=0,"",_xlfn.XLOOKUP(C471,customers!$A$2:$A$1001,customers!$C$2:$C$1001,,))</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cm="1">
        <f t="array" ref="N471">_xlfn.IFS(I471="Rob","Robusta",I471="Exc","Excelsa",I471="Ara","Arabica",I471="Lib","Liberica")</f>
        <v>Excelsa</v>
      </c>
      <c r="O471" t="str" cm="1">
        <f t="array" ref="O471">_xlfn.IFS(J471="M","Medium",J471="L","Light",J471="D","Dark")</f>
        <v>Light</v>
      </c>
      <c r="P471" t="str">
        <f>_xlfn.XLOOKUP(Orders[[#This Row],[Customer ID]],customers!$A$1:$A$1001,customers!$I$1:$I$1001,,0)</f>
        <v>Yes</v>
      </c>
    </row>
    <row r="472" spans="1:16" x14ac:dyDescent="0.25">
      <c r="A472" s="2" t="s">
        <v>3147</v>
      </c>
      <c r="B472" s="3">
        <v>44656</v>
      </c>
      <c r="C472" s="2" t="s">
        <v>3148</v>
      </c>
      <c r="D472" t="s">
        <v>6157</v>
      </c>
      <c r="E472" s="2">
        <v>1</v>
      </c>
      <c r="F472" s="2" t="str">
        <f>_xlfn.XLOOKUP(orders!C472,customers!$A$2:$A$1001,customers!$B$2:$B$1001)</f>
        <v>Alberto Hutchinson</v>
      </c>
      <c r="G472" s="2" t="str">
        <f>IF(_xlfn.XLOOKUP(C472,customers!$A$2:$A$1001,customers!$C$2:$C$1001,,)=0,"",_xlfn.XLOOKUP(C472,customers!$A$2:$A$1001,customers!$C$2:$C$1001,,))</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cm="1">
        <f t="array" ref="N472">_xlfn.IFS(I472="Rob","Robusta",I472="Exc","Excelsa",I472="Ara","Arabica",I472="Lib","Liberica")</f>
        <v>Arabica</v>
      </c>
      <c r="O472" t="str" cm="1">
        <f t="array" ref="O472">_xlfn.IFS(J472="M","Medium",J472="L","Light",J472="D","Dark")</f>
        <v>Medium</v>
      </c>
      <c r="P472" t="str">
        <f>_xlfn.XLOOKUP(Orders[[#This Row],[Customer ID]],customers!$A$1:$A$1001,customers!$I$1:$I$1001,,0)</f>
        <v>Yes</v>
      </c>
    </row>
    <row r="473" spans="1:16" x14ac:dyDescent="0.25">
      <c r="A473" s="2" t="s">
        <v>3153</v>
      </c>
      <c r="B473" s="3">
        <v>44644</v>
      </c>
      <c r="C473" s="2" t="s">
        <v>3154</v>
      </c>
      <c r="D473" t="s">
        <v>6181</v>
      </c>
      <c r="E473" s="2">
        <v>4</v>
      </c>
      <c r="F473" s="2" t="str">
        <f>_xlfn.XLOOKUP(orders!C473,customers!$A$2:$A$1001,customers!$B$2:$B$1001)</f>
        <v>Lamond Gheeraert</v>
      </c>
      <c r="G473" s="2" t="str">
        <f>IF(_xlfn.XLOOKUP(C473,customers!$A$2:$A$1001,customers!$C$2:$C$1001,,)=0,"",_xlfn.XLOOKUP(C473,customers!$A$2:$A$1001,customers!$C$2:$C$1001,,))</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cm="1">
        <f t="array" ref="N473">_xlfn.IFS(I473="Rob","Robusta",I473="Exc","Excelsa",I473="Ara","Arabica",I473="Lib","Liberica")</f>
        <v>Liberica</v>
      </c>
      <c r="O473" t="str" cm="1">
        <f t="array" ref="O473">_xlfn.IFS(J473="M","Medium",J473="L","Light",J473="D","Dark")</f>
        <v>Medium</v>
      </c>
      <c r="P473" t="str">
        <f>_xlfn.XLOOKUP(Orders[[#This Row],[Customer ID]],customers!$A$1:$A$1001,customers!$I$1:$I$1001,,0)</f>
        <v>Yes</v>
      </c>
    </row>
    <row r="474" spans="1:16" x14ac:dyDescent="0.25">
      <c r="A474" s="2" t="s">
        <v>3158</v>
      </c>
      <c r="B474" s="3">
        <v>43869</v>
      </c>
      <c r="C474" s="2" t="s">
        <v>3159</v>
      </c>
      <c r="D474" t="s">
        <v>6154</v>
      </c>
      <c r="E474" s="2">
        <v>2</v>
      </c>
      <c r="F474" s="2" t="str">
        <f>_xlfn.XLOOKUP(orders!C474,customers!$A$2:$A$1001,customers!$B$2:$B$1001)</f>
        <v>Roxine Drivers</v>
      </c>
      <c r="G474" s="2" t="str">
        <f>IF(_xlfn.XLOOKUP(C474,customers!$A$2:$A$1001,customers!$C$2:$C$1001,,)=0,"",_xlfn.XLOOKUP(C474,customers!$A$2:$A$1001,customers!$C$2:$C$1001,,))</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cm="1">
        <f t="array" ref="N474">_xlfn.IFS(I474="Rob","Robusta",I474="Exc","Excelsa",I474="Ara","Arabica",I474="Lib","Liberica")</f>
        <v>Arabica</v>
      </c>
      <c r="O474" t="str" cm="1">
        <f t="array" ref="O474">_xlfn.IFS(J474="M","Medium",J474="L","Light",J474="D","Dark")</f>
        <v>Dark</v>
      </c>
      <c r="P474" t="str">
        <f>_xlfn.XLOOKUP(Orders[[#This Row],[Customer ID]],customers!$A$1:$A$1001,customers!$I$1:$I$1001,,0)</f>
        <v>No</v>
      </c>
    </row>
    <row r="475" spans="1:16" x14ac:dyDescent="0.25">
      <c r="A475" s="2" t="s">
        <v>3164</v>
      </c>
      <c r="B475" s="3">
        <v>44603</v>
      </c>
      <c r="C475" s="2" t="s">
        <v>3165</v>
      </c>
      <c r="D475" t="s">
        <v>6140</v>
      </c>
      <c r="E475" s="2">
        <v>2</v>
      </c>
      <c r="F475" s="2" t="str">
        <f>_xlfn.XLOOKUP(orders!C475,customers!$A$2:$A$1001,customers!$B$2:$B$1001)</f>
        <v>Heloise Zeal</v>
      </c>
      <c r="G475" s="2" t="str">
        <f>IF(_xlfn.XLOOKUP(C475,customers!$A$2:$A$1001,customers!$C$2:$C$1001,,)=0,"",_xlfn.XLOOKUP(C475,customers!$A$2:$A$1001,customers!$C$2:$C$1001,,))</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cm="1">
        <f t="array" ref="N475">_xlfn.IFS(I475="Rob","Robusta",I475="Exc","Excelsa",I475="Ara","Arabica",I475="Lib","Liberica")</f>
        <v>Arabica</v>
      </c>
      <c r="O475" t="str" cm="1">
        <f t="array" ref="O475">_xlfn.IFS(J475="M","Medium",J475="L","Light",J475="D","Dark")</f>
        <v>Light</v>
      </c>
      <c r="P475" t="str">
        <f>_xlfn.XLOOKUP(Orders[[#This Row],[Customer ID]],customers!$A$1:$A$1001,customers!$I$1:$I$1001,,0)</f>
        <v>No</v>
      </c>
    </row>
    <row r="476" spans="1:16" x14ac:dyDescent="0.25">
      <c r="A476" s="2" t="s">
        <v>3170</v>
      </c>
      <c r="B476" s="3">
        <v>44014</v>
      </c>
      <c r="C476" s="2" t="s">
        <v>3171</v>
      </c>
      <c r="D476" t="s">
        <v>6166</v>
      </c>
      <c r="E476" s="2">
        <v>1</v>
      </c>
      <c r="F476" s="2" t="str">
        <f>_xlfn.XLOOKUP(orders!C476,customers!$A$2:$A$1001,customers!$B$2:$B$1001)</f>
        <v>Granger Smallcombe</v>
      </c>
      <c r="G476" s="2" t="str">
        <f>IF(_xlfn.XLOOKUP(C476,customers!$A$2:$A$1001,customers!$C$2:$C$1001,,)=0,"",_xlfn.XLOOKUP(C476,customers!$A$2:$A$1001,customers!$C$2:$C$1001,,))</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cm="1">
        <f t="array" ref="N476">_xlfn.IFS(I476="Rob","Robusta",I476="Exc","Excelsa",I476="Ara","Arabica",I476="Lib","Liberica")</f>
        <v>Excelsa</v>
      </c>
      <c r="O476" t="str" cm="1">
        <f t="array" ref="O476">_xlfn.IFS(J476="M","Medium",J476="L","Light",J476="D","Dark")</f>
        <v>Medium</v>
      </c>
      <c r="P476" t="str">
        <f>_xlfn.XLOOKUP(Orders[[#This Row],[Customer ID]],customers!$A$1:$A$1001,customers!$I$1:$I$1001,,0)</f>
        <v>Yes</v>
      </c>
    </row>
    <row r="477" spans="1:16" x14ac:dyDescent="0.25">
      <c r="A477" s="2" t="s">
        <v>3176</v>
      </c>
      <c r="B477" s="3">
        <v>44767</v>
      </c>
      <c r="C477" s="2" t="s">
        <v>3177</v>
      </c>
      <c r="D477" t="s">
        <v>6159</v>
      </c>
      <c r="E477" s="2">
        <v>2</v>
      </c>
      <c r="F477" s="2" t="str">
        <f>_xlfn.XLOOKUP(orders!C477,customers!$A$2:$A$1001,customers!$B$2:$B$1001)</f>
        <v>Daryn Dibley</v>
      </c>
      <c r="G477" s="2" t="str">
        <f>IF(_xlfn.XLOOKUP(C477,customers!$A$2:$A$1001,customers!$C$2:$C$1001,,)=0,"",_xlfn.XLOOKUP(C477,customers!$A$2:$A$1001,customers!$C$2:$C$1001,,))</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cm="1">
        <f t="array" ref="N477">_xlfn.IFS(I477="Rob","Robusta",I477="Exc","Excelsa",I477="Ara","Arabica",I477="Lib","Liberica")</f>
        <v>Liberica</v>
      </c>
      <c r="O477" t="str" cm="1">
        <f t="array" ref="O477">_xlfn.IFS(J477="M","Medium",J477="L","Light",J477="D","Dark")</f>
        <v>Medium</v>
      </c>
      <c r="P477" t="str">
        <f>_xlfn.XLOOKUP(Orders[[#This Row],[Customer ID]],customers!$A$1:$A$1001,customers!$I$1:$I$1001,,0)</f>
        <v>No</v>
      </c>
    </row>
    <row r="478" spans="1:16" x14ac:dyDescent="0.25">
      <c r="A478" s="2" t="s">
        <v>3181</v>
      </c>
      <c r="B478" s="3">
        <v>44274</v>
      </c>
      <c r="C478" s="2" t="s">
        <v>3182</v>
      </c>
      <c r="D478" t="s">
        <v>6184</v>
      </c>
      <c r="E478" s="2">
        <v>6</v>
      </c>
      <c r="F478" s="2" t="str">
        <f>_xlfn.XLOOKUP(orders!C478,customers!$A$2:$A$1001,customers!$B$2:$B$1001)</f>
        <v>Gardy Dimitriou</v>
      </c>
      <c r="G478" s="2" t="str">
        <f>IF(_xlfn.XLOOKUP(C478,customers!$A$2:$A$1001,customers!$C$2:$C$1001,,)=0,"",_xlfn.XLOOKUP(C478,customers!$A$2:$A$1001,customers!$C$2:$C$1001,,))</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cm="1">
        <f t="array" ref="N478">_xlfn.IFS(I478="Rob","Robusta",I478="Exc","Excelsa",I478="Ara","Arabica",I478="Lib","Liberica")</f>
        <v>Excelsa</v>
      </c>
      <c r="O478" t="str" cm="1">
        <f t="array" ref="O478">_xlfn.IFS(J478="M","Medium",J478="L","Light",J478="D","Dark")</f>
        <v>Light</v>
      </c>
      <c r="P478" t="str">
        <f>_xlfn.XLOOKUP(Orders[[#This Row],[Customer ID]],customers!$A$1:$A$1001,customers!$I$1:$I$1001,,0)</f>
        <v>Yes</v>
      </c>
    </row>
    <row r="479" spans="1:16" x14ac:dyDescent="0.25">
      <c r="A479" s="2" t="s">
        <v>3187</v>
      </c>
      <c r="B479" s="3">
        <v>43962</v>
      </c>
      <c r="C479" s="2" t="s">
        <v>3188</v>
      </c>
      <c r="D479" t="s">
        <v>6159</v>
      </c>
      <c r="E479" s="2">
        <v>6</v>
      </c>
      <c r="F479" s="2" t="str">
        <f>_xlfn.XLOOKUP(orders!C479,customers!$A$2:$A$1001,customers!$B$2:$B$1001)</f>
        <v>Fanny Flanagan</v>
      </c>
      <c r="G479" s="2" t="str">
        <f>IF(_xlfn.XLOOKUP(C479,customers!$A$2:$A$1001,customers!$C$2:$C$1001,,)=0,"",_xlfn.XLOOKUP(C479,customers!$A$2:$A$1001,customers!$C$2:$C$1001,,))</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cm="1">
        <f t="array" ref="N479">_xlfn.IFS(I479="Rob","Robusta",I479="Exc","Excelsa",I479="Ara","Arabica",I479="Lib","Liberica")</f>
        <v>Liberica</v>
      </c>
      <c r="O479" t="str" cm="1">
        <f t="array" ref="O479">_xlfn.IFS(J479="M","Medium",J479="L","Light",J479="D","Dark")</f>
        <v>Medium</v>
      </c>
      <c r="P479" t="str">
        <f>_xlfn.XLOOKUP(Orders[[#This Row],[Customer ID]],customers!$A$1:$A$1001,customers!$I$1:$I$1001,,0)</f>
        <v>No</v>
      </c>
    </row>
    <row r="480" spans="1:16" x14ac:dyDescent="0.25">
      <c r="A480" s="2" t="s">
        <v>3193</v>
      </c>
      <c r="B480" s="3">
        <v>43624</v>
      </c>
      <c r="C480" s="2" t="s">
        <v>3194</v>
      </c>
      <c r="D480" t="s">
        <v>6177</v>
      </c>
      <c r="E480" s="2">
        <v>6</v>
      </c>
      <c r="F480" s="2" t="str">
        <f>_xlfn.XLOOKUP(orders!C480,customers!$A$2:$A$1001,customers!$B$2:$B$1001)</f>
        <v>Ailey Brash</v>
      </c>
      <c r="G480" s="2" t="str">
        <f>IF(_xlfn.XLOOKUP(C480,customers!$A$2:$A$1001,customers!$C$2:$C$1001,,)=0,"",_xlfn.XLOOKUP(C480,customers!$A$2:$A$1001,customers!$C$2:$C$1001,,))</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cm="1">
        <f t="array" ref="N480">_xlfn.IFS(I480="Rob","Robusta",I480="Exc","Excelsa",I480="Ara","Arabica",I480="Lib","Liberica")</f>
        <v>Robusta</v>
      </c>
      <c r="O480" t="str" cm="1">
        <f t="array" ref="O480">_xlfn.IFS(J480="M","Medium",J480="L","Light",J480="D","Dark")</f>
        <v>Dark</v>
      </c>
      <c r="P480" t="str">
        <f>_xlfn.XLOOKUP(Orders[[#This Row],[Customer ID]],customers!$A$1:$A$1001,customers!$I$1:$I$1001,,0)</f>
        <v>Yes</v>
      </c>
    </row>
    <row r="481" spans="1:16" x14ac:dyDescent="0.25">
      <c r="A481" s="2" t="s">
        <v>3193</v>
      </c>
      <c r="B481" s="3">
        <v>43624</v>
      </c>
      <c r="C481" s="2" t="s">
        <v>3194</v>
      </c>
      <c r="D481" t="s">
        <v>6166</v>
      </c>
      <c r="E481" s="2">
        <v>4</v>
      </c>
      <c r="F481" s="2" t="str">
        <f>_xlfn.XLOOKUP(orders!C481,customers!$A$2:$A$1001,customers!$B$2:$B$1001)</f>
        <v>Ailey Brash</v>
      </c>
      <c r="G481" s="2" t="str">
        <f>IF(_xlfn.XLOOKUP(C481,customers!$A$2:$A$1001,customers!$C$2:$C$1001,,)=0,"",_xlfn.XLOOKUP(C481,customers!$A$2:$A$1001,customers!$C$2:$C$1001,,))</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cm="1">
        <f t="array" ref="N481">_xlfn.IFS(I481="Rob","Robusta",I481="Exc","Excelsa",I481="Ara","Arabica",I481="Lib","Liberica")</f>
        <v>Excelsa</v>
      </c>
      <c r="O481" t="str" cm="1">
        <f t="array" ref="O481">_xlfn.IFS(J481="M","Medium",J481="L","Light",J481="D","Dark")</f>
        <v>Medium</v>
      </c>
      <c r="P481" t="str">
        <f>_xlfn.XLOOKUP(Orders[[#This Row],[Customer ID]],customers!$A$1:$A$1001,customers!$I$1:$I$1001,,0)</f>
        <v>Yes</v>
      </c>
    </row>
    <row r="482" spans="1:16" x14ac:dyDescent="0.25">
      <c r="A482" s="2" t="s">
        <v>3193</v>
      </c>
      <c r="B482" s="3">
        <v>43624</v>
      </c>
      <c r="C482" s="2" t="s">
        <v>3194</v>
      </c>
      <c r="D482" t="s">
        <v>6156</v>
      </c>
      <c r="E482" s="2">
        <v>1</v>
      </c>
      <c r="F482" s="2" t="str">
        <f>_xlfn.XLOOKUP(orders!C482,customers!$A$2:$A$1001,customers!$B$2:$B$1001)</f>
        <v>Ailey Brash</v>
      </c>
      <c r="G482" s="2" t="str">
        <f>IF(_xlfn.XLOOKUP(C482,customers!$A$2:$A$1001,customers!$C$2:$C$1001,,)=0,"",_xlfn.XLOOKUP(C482,customers!$A$2:$A$1001,customers!$C$2:$C$1001,,))</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cm="1">
        <f t="array" ref="N482">_xlfn.IFS(I482="Rob","Robusta",I482="Exc","Excelsa",I482="Ara","Arabica",I482="Lib","Liberica")</f>
        <v>Excelsa</v>
      </c>
      <c r="O482" t="str" cm="1">
        <f t="array" ref="O482">_xlfn.IFS(J482="M","Medium",J482="L","Light",J482="D","Dark")</f>
        <v>Medium</v>
      </c>
      <c r="P482" t="str">
        <f>_xlfn.XLOOKUP(Orders[[#This Row],[Customer ID]],customers!$A$1:$A$1001,customers!$I$1:$I$1001,,0)</f>
        <v>Yes</v>
      </c>
    </row>
    <row r="483" spans="1:16" x14ac:dyDescent="0.25">
      <c r="A483" s="2" t="s">
        <v>3208</v>
      </c>
      <c r="B483" s="3">
        <v>43747</v>
      </c>
      <c r="C483" s="2" t="s">
        <v>3209</v>
      </c>
      <c r="D483" t="s">
        <v>6179</v>
      </c>
      <c r="E483" s="2">
        <v>2</v>
      </c>
      <c r="F483" s="2" t="str">
        <f>_xlfn.XLOOKUP(orders!C483,customers!$A$2:$A$1001,customers!$B$2:$B$1001)</f>
        <v>Nanny Izhakov</v>
      </c>
      <c r="G483" s="2" t="str">
        <f>IF(_xlfn.XLOOKUP(C483,customers!$A$2:$A$1001,customers!$C$2:$C$1001,,)=0,"",_xlfn.XLOOKUP(C483,customers!$A$2:$A$1001,customers!$C$2:$C$1001,,))</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cm="1">
        <f t="array" ref="N483">_xlfn.IFS(I483="Rob","Robusta",I483="Exc","Excelsa",I483="Ara","Arabica",I483="Lib","Liberica")</f>
        <v>Robusta</v>
      </c>
      <c r="O483" t="str" cm="1">
        <f t="array" ref="O483">_xlfn.IFS(J483="M","Medium",J483="L","Light",J483="D","Dark")</f>
        <v>Light</v>
      </c>
      <c r="P483" t="str">
        <f>_xlfn.XLOOKUP(Orders[[#This Row],[Customer ID]],customers!$A$1:$A$1001,customers!$I$1:$I$1001,,0)</f>
        <v>No</v>
      </c>
    </row>
    <row r="484" spans="1:16" x14ac:dyDescent="0.25">
      <c r="A484" s="2" t="s">
        <v>3214</v>
      </c>
      <c r="B484" s="3">
        <v>44247</v>
      </c>
      <c r="C484" s="2" t="s">
        <v>3215</v>
      </c>
      <c r="D484" t="s">
        <v>6185</v>
      </c>
      <c r="E484" s="2">
        <v>5</v>
      </c>
      <c r="F484" s="2" t="str">
        <f>_xlfn.XLOOKUP(orders!C484,customers!$A$2:$A$1001,customers!$B$2:$B$1001)</f>
        <v>Stanly Keets</v>
      </c>
      <c r="G484" s="2" t="str">
        <f>IF(_xlfn.XLOOKUP(C484,customers!$A$2:$A$1001,customers!$C$2:$C$1001,,)=0,"",_xlfn.XLOOKUP(C484,customers!$A$2:$A$1001,customers!$C$2:$C$1001,,))</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cm="1">
        <f t="array" ref="N484">_xlfn.IFS(I484="Rob","Robusta",I484="Exc","Excelsa",I484="Ara","Arabica",I484="Lib","Liberica")</f>
        <v>Excelsa</v>
      </c>
      <c r="O484" t="str" cm="1">
        <f t="array" ref="O484">_xlfn.IFS(J484="M","Medium",J484="L","Light",J484="D","Dark")</f>
        <v>Dark</v>
      </c>
      <c r="P484" t="str">
        <f>_xlfn.XLOOKUP(Orders[[#This Row],[Customer ID]],customers!$A$1:$A$1001,customers!$I$1:$I$1001,,0)</f>
        <v>Yes</v>
      </c>
    </row>
    <row r="485" spans="1:16" x14ac:dyDescent="0.25">
      <c r="A485" s="2" t="s">
        <v>3220</v>
      </c>
      <c r="B485" s="3">
        <v>43790</v>
      </c>
      <c r="C485" s="2" t="s">
        <v>3221</v>
      </c>
      <c r="D485" t="s">
        <v>6165</v>
      </c>
      <c r="E485" s="2">
        <v>2</v>
      </c>
      <c r="F485" s="2" t="str">
        <f>_xlfn.XLOOKUP(orders!C485,customers!$A$2:$A$1001,customers!$B$2:$B$1001)</f>
        <v>Orion Dyott</v>
      </c>
      <c r="G485" s="2" t="str">
        <f>IF(_xlfn.XLOOKUP(C485,customers!$A$2:$A$1001,customers!$C$2:$C$1001,,)=0,"",_xlfn.XLOOKUP(C485,customers!$A$2:$A$1001,customers!$C$2:$C$1001,,))</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cm="1">
        <f t="array" ref="N485">_xlfn.IFS(I485="Rob","Robusta",I485="Exc","Excelsa",I485="Ara","Arabica",I485="Lib","Liberica")</f>
        <v>Liberica</v>
      </c>
      <c r="O485" t="str" cm="1">
        <f t="array" ref="O485">_xlfn.IFS(J485="M","Medium",J485="L","Light",J485="D","Dark")</f>
        <v>Dark</v>
      </c>
      <c r="P485" t="str">
        <f>_xlfn.XLOOKUP(Orders[[#This Row],[Customer ID]],customers!$A$1:$A$1001,customers!$I$1:$I$1001,,0)</f>
        <v>Yes</v>
      </c>
    </row>
    <row r="486" spans="1:16" x14ac:dyDescent="0.25">
      <c r="A486" s="2" t="s">
        <v>3225</v>
      </c>
      <c r="B486" s="3">
        <v>44479</v>
      </c>
      <c r="C486" s="2" t="s">
        <v>3226</v>
      </c>
      <c r="D486" t="s">
        <v>6161</v>
      </c>
      <c r="E486" s="2">
        <v>6</v>
      </c>
      <c r="F486" s="2" t="str">
        <f>_xlfn.XLOOKUP(orders!C486,customers!$A$2:$A$1001,customers!$B$2:$B$1001)</f>
        <v>Keefer Cake</v>
      </c>
      <c r="G486" s="2" t="str">
        <f>IF(_xlfn.XLOOKUP(C486,customers!$A$2:$A$1001,customers!$C$2:$C$1001,,)=0,"",_xlfn.XLOOKUP(C486,customers!$A$2:$A$1001,customers!$C$2:$C$1001,,))</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cm="1">
        <f t="array" ref="N486">_xlfn.IFS(I486="Rob","Robusta",I486="Exc","Excelsa",I486="Ara","Arabica",I486="Lib","Liberica")</f>
        <v>Liberica</v>
      </c>
      <c r="O486" t="str" cm="1">
        <f t="array" ref="O486">_xlfn.IFS(J486="M","Medium",J486="L","Light",J486="D","Dark")</f>
        <v>Light</v>
      </c>
      <c r="P486" t="str">
        <f>_xlfn.XLOOKUP(Orders[[#This Row],[Customer ID]],customers!$A$1:$A$1001,customers!$I$1:$I$1001,,0)</f>
        <v>No</v>
      </c>
    </row>
    <row r="487" spans="1:16" x14ac:dyDescent="0.25">
      <c r="A487" s="2" t="s">
        <v>3230</v>
      </c>
      <c r="B487" s="3">
        <v>44413</v>
      </c>
      <c r="C487" s="2" t="s">
        <v>3231</v>
      </c>
      <c r="D487" t="s">
        <v>6178</v>
      </c>
      <c r="E487" s="2">
        <v>6</v>
      </c>
      <c r="F487" s="2" t="str">
        <f>_xlfn.XLOOKUP(orders!C487,customers!$A$2:$A$1001,customers!$B$2:$B$1001)</f>
        <v>Morna Hansed</v>
      </c>
      <c r="G487" s="2" t="str">
        <f>IF(_xlfn.XLOOKUP(C487,customers!$A$2:$A$1001,customers!$C$2:$C$1001,,)=0,"",_xlfn.XLOOKUP(C487,customers!$A$2:$A$1001,customers!$C$2:$C$1001,,))</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cm="1">
        <f t="array" ref="N487">_xlfn.IFS(I487="Rob","Robusta",I487="Exc","Excelsa",I487="Ara","Arabica",I487="Lib","Liberica")</f>
        <v>Robusta</v>
      </c>
      <c r="O487" t="str" cm="1">
        <f t="array" ref="O487">_xlfn.IFS(J487="M","Medium",J487="L","Light",J487="D","Dark")</f>
        <v>Light</v>
      </c>
      <c r="P487" t="str">
        <f>_xlfn.XLOOKUP(Orders[[#This Row],[Customer ID]],customers!$A$1:$A$1001,customers!$I$1:$I$1001,,0)</f>
        <v>Yes</v>
      </c>
    </row>
    <row r="488" spans="1:16" x14ac:dyDescent="0.25">
      <c r="A488" s="2" t="s">
        <v>3236</v>
      </c>
      <c r="B488" s="3">
        <v>44043</v>
      </c>
      <c r="C488" s="2" t="s">
        <v>3237</v>
      </c>
      <c r="D488" t="s">
        <v>6160</v>
      </c>
      <c r="E488" s="2">
        <v>6</v>
      </c>
      <c r="F488" s="2" t="str">
        <f>_xlfn.XLOOKUP(orders!C488,customers!$A$2:$A$1001,customers!$B$2:$B$1001)</f>
        <v>Franny Kienlein</v>
      </c>
      <c r="G488" s="2" t="str">
        <f>IF(_xlfn.XLOOKUP(C488,customers!$A$2:$A$1001,customers!$C$2:$C$1001,,)=0,"",_xlfn.XLOOKUP(C488,customers!$A$2:$A$1001,customers!$C$2:$C$1001,,))</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cm="1">
        <f t="array" ref="N488">_xlfn.IFS(I488="Rob","Robusta",I488="Exc","Excelsa",I488="Ara","Arabica",I488="Lib","Liberica")</f>
        <v>Liberica</v>
      </c>
      <c r="O488" t="str" cm="1">
        <f t="array" ref="O488">_xlfn.IFS(J488="M","Medium",J488="L","Light",J488="D","Dark")</f>
        <v>Medium</v>
      </c>
      <c r="P488" t="str">
        <f>_xlfn.XLOOKUP(Orders[[#This Row],[Customer ID]],customers!$A$1:$A$1001,customers!$I$1:$I$1001,,0)</f>
        <v>Yes</v>
      </c>
    </row>
    <row r="489" spans="1:16" x14ac:dyDescent="0.25">
      <c r="A489" s="2" t="s">
        <v>3242</v>
      </c>
      <c r="B489" s="3">
        <v>44093</v>
      </c>
      <c r="C489" s="2" t="s">
        <v>3243</v>
      </c>
      <c r="D489" t="s">
        <v>6183</v>
      </c>
      <c r="E489" s="2">
        <v>6</v>
      </c>
      <c r="F489" s="2" t="str">
        <f>_xlfn.XLOOKUP(orders!C489,customers!$A$2:$A$1001,customers!$B$2:$B$1001)</f>
        <v>Klarika Egglestone</v>
      </c>
      <c r="G489" s="2" t="str">
        <f>IF(_xlfn.XLOOKUP(C489,customers!$A$2:$A$1001,customers!$C$2:$C$1001,,)=0,"",_xlfn.XLOOKUP(C489,customers!$A$2:$A$1001,customers!$C$2:$C$1001,,))</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cm="1">
        <f t="array" ref="N489">_xlfn.IFS(I489="Rob","Robusta",I489="Exc","Excelsa",I489="Ara","Arabica",I489="Lib","Liberica")</f>
        <v>Excelsa</v>
      </c>
      <c r="O489" t="str" cm="1">
        <f t="array" ref="O489">_xlfn.IFS(J489="M","Medium",J489="L","Light",J489="D","Dark")</f>
        <v>Dark</v>
      </c>
      <c r="P489" t="str">
        <f>_xlfn.XLOOKUP(Orders[[#This Row],[Customer ID]],customers!$A$1:$A$1001,customers!$I$1:$I$1001,,0)</f>
        <v>No</v>
      </c>
    </row>
    <row r="490" spans="1:16" x14ac:dyDescent="0.25">
      <c r="A490" s="2" t="s">
        <v>3248</v>
      </c>
      <c r="B490" s="3">
        <v>43954</v>
      </c>
      <c r="C490" s="2" t="s">
        <v>3249</v>
      </c>
      <c r="D490" t="s">
        <v>6174</v>
      </c>
      <c r="E490" s="2">
        <v>5</v>
      </c>
      <c r="F490" s="2" t="str">
        <f>_xlfn.XLOOKUP(orders!C490,customers!$A$2:$A$1001,customers!$B$2:$B$1001)</f>
        <v>Becky Semkins</v>
      </c>
      <c r="G490" s="2" t="str">
        <f>IF(_xlfn.XLOOKUP(C490,customers!$A$2:$A$1001,customers!$C$2:$C$1001,,)=0,"",_xlfn.XLOOKUP(C490,customers!$A$2:$A$1001,customers!$C$2:$C$1001,,))</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cm="1">
        <f t="array" ref="N490">_xlfn.IFS(I490="Rob","Robusta",I490="Exc","Excelsa",I490="Ara","Arabica",I490="Lib","Liberica")</f>
        <v>Robusta</v>
      </c>
      <c r="O490" t="str" cm="1">
        <f t="array" ref="O490">_xlfn.IFS(J490="M","Medium",J490="L","Light",J490="D","Dark")</f>
        <v>Medium</v>
      </c>
      <c r="P490" t="str">
        <f>_xlfn.XLOOKUP(Orders[[#This Row],[Customer ID]],customers!$A$1:$A$1001,customers!$I$1:$I$1001,,0)</f>
        <v>Yes</v>
      </c>
    </row>
    <row r="491" spans="1:16" x14ac:dyDescent="0.25">
      <c r="A491" s="2" t="s">
        <v>3254</v>
      </c>
      <c r="B491" s="3">
        <v>43654</v>
      </c>
      <c r="C491" s="2" t="s">
        <v>3255</v>
      </c>
      <c r="D491" t="s">
        <v>6170</v>
      </c>
      <c r="E491" s="2">
        <v>6</v>
      </c>
      <c r="F491" s="2" t="str">
        <f>_xlfn.XLOOKUP(orders!C491,customers!$A$2:$A$1001,customers!$B$2:$B$1001)</f>
        <v>Sean Lorenzetti</v>
      </c>
      <c r="G491" s="2" t="str">
        <f>IF(_xlfn.XLOOKUP(C491,customers!$A$2:$A$1001,customers!$C$2:$C$1001,,)=0,"",_xlfn.XLOOKUP(C491,customers!$A$2:$A$1001,customers!$C$2:$C$1001,,))</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cm="1">
        <f t="array" ref="N491">_xlfn.IFS(I491="Rob","Robusta",I491="Exc","Excelsa",I491="Ara","Arabica",I491="Lib","Liberica")</f>
        <v>Liberica</v>
      </c>
      <c r="O491" t="str" cm="1">
        <f t="array" ref="O491">_xlfn.IFS(J491="M","Medium",J491="L","Light",J491="D","Dark")</f>
        <v>Light</v>
      </c>
      <c r="P491" t="str">
        <f>_xlfn.XLOOKUP(Orders[[#This Row],[Customer ID]],customers!$A$1:$A$1001,customers!$I$1:$I$1001,,0)</f>
        <v>No</v>
      </c>
    </row>
    <row r="492" spans="1:16" x14ac:dyDescent="0.25">
      <c r="A492" s="2" t="s">
        <v>3260</v>
      </c>
      <c r="B492" s="3">
        <v>43764</v>
      </c>
      <c r="C492" s="2" t="s">
        <v>3261</v>
      </c>
      <c r="D492" t="s">
        <v>6169</v>
      </c>
      <c r="E492" s="2">
        <v>2</v>
      </c>
      <c r="F492" s="2" t="str">
        <f>_xlfn.XLOOKUP(orders!C492,customers!$A$2:$A$1001,customers!$B$2:$B$1001)</f>
        <v>Bob Giannazzi</v>
      </c>
      <c r="G492" s="2" t="str">
        <f>IF(_xlfn.XLOOKUP(C492,customers!$A$2:$A$1001,customers!$C$2:$C$1001,,)=0,"",_xlfn.XLOOKUP(C492,customers!$A$2:$A$1001,customers!$C$2:$C$1001,,))</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cm="1">
        <f t="array" ref="N492">_xlfn.IFS(I492="Rob","Robusta",I492="Exc","Excelsa",I492="Ara","Arabica",I492="Lib","Liberica")</f>
        <v>Liberica</v>
      </c>
      <c r="O492" t="str" cm="1">
        <f t="array" ref="O492">_xlfn.IFS(J492="M","Medium",J492="L","Light",J492="D","Dark")</f>
        <v>Dark</v>
      </c>
      <c r="P492" t="str">
        <f>_xlfn.XLOOKUP(Orders[[#This Row],[Customer ID]],customers!$A$1:$A$1001,customers!$I$1:$I$1001,,0)</f>
        <v>No</v>
      </c>
    </row>
    <row r="493" spans="1:16" x14ac:dyDescent="0.25">
      <c r="A493" s="2" t="s">
        <v>3266</v>
      </c>
      <c r="B493" s="3">
        <v>44101</v>
      </c>
      <c r="C493" s="2" t="s">
        <v>3267</v>
      </c>
      <c r="D493" t="s">
        <v>6150</v>
      </c>
      <c r="E493" s="2">
        <v>6</v>
      </c>
      <c r="F493" s="2" t="str">
        <f>_xlfn.XLOOKUP(orders!C493,customers!$A$2:$A$1001,customers!$B$2:$B$1001)</f>
        <v>Kendra Backshell</v>
      </c>
      <c r="G493" s="2" t="str">
        <f>IF(_xlfn.XLOOKUP(C493,customers!$A$2:$A$1001,customers!$C$2:$C$1001,,)=0,"",_xlfn.XLOOKUP(C493,customers!$A$2:$A$1001,customers!$C$2:$C$1001,,))</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cm="1">
        <f t="array" ref="N493">_xlfn.IFS(I493="Rob","Robusta",I493="Exc","Excelsa",I493="Ara","Arabica",I493="Lib","Liberica")</f>
        <v>Liberica</v>
      </c>
      <c r="O493" t="str" cm="1">
        <f t="array" ref="O493">_xlfn.IFS(J493="M","Medium",J493="L","Light",J493="D","Dark")</f>
        <v>Dark</v>
      </c>
      <c r="P493" t="str">
        <f>_xlfn.XLOOKUP(Orders[[#This Row],[Customer ID]],customers!$A$1:$A$1001,customers!$I$1:$I$1001,,0)</f>
        <v>No</v>
      </c>
    </row>
    <row r="494" spans="1:16" x14ac:dyDescent="0.25">
      <c r="A494" s="2" t="s">
        <v>3271</v>
      </c>
      <c r="B494" s="3">
        <v>44620</v>
      </c>
      <c r="C494" s="2" t="s">
        <v>3272</v>
      </c>
      <c r="D494" t="s">
        <v>6156</v>
      </c>
      <c r="E494" s="2">
        <v>1</v>
      </c>
      <c r="F494" s="2" t="str">
        <f>_xlfn.XLOOKUP(orders!C494,customers!$A$2:$A$1001,customers!$B$2:$B$1001)</f>
        <v>Uriah Lethbrig</v>
      </c>
      <c r="G494" s="2" t="str">
        <f>IF(_xlfn.XLOOKUP(C494,customers!$A$2:$A$1001,customers!$C$2:$C$1001,,)=0,"",_xlfn.XLOOKUP(C494,customers!$A$2:$A$1001,customers!$C$2:$C$1001,,))</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cm="1">
        <f t="array" ref="N494">_xlfn.IFS(I494="Rob","Robusta",I494="Exc","Excelsa",I494="Ara","Arabica",I494="Lib","Liberica")</f>
        <v>Excelsa</v>
      </c>
      <c r="O494" t="str" cm="1">
        <f t="array" ref="O494">_xlfn.IFS(J494="M","Medium",J494="L","Light",J494="D","Dark")</f>
        <v>Medium</v>
      </c>
      <c r="P494" t="str">
        <f>_xlfn.XLOOKUP(Orders[[#This Row],[Customer ID]],customers!$A$1:$A$1001,customers!$I$1:$I$1001,,0)</f>
        <v>Yes</v>
      </c>
    </row>
    <row r="495" spans="1:16" x14ac:dyDescent="0.25">
      <c r="A495" s="2" t="s">
        <v>3277</v>
      </c>
      <c r="B495" s="3">
        <v>44090</v>
      </c>
      <c r="C495" s="2" t="s">
        <v>3278</v>
      </c>
      <c r="D495" t="s">
        <v>6146</v>
      </c>
      <c r="E495" s="2">
        <v>6</v>
      </c>
      <c r="F495" s="2" t="str">
        <f>_xlfn.XLOOKUP(orders!C495,customers!$A$2:$A$1001,customers!$B$2:$B$1001)</f>
        <v>Sky Farnish</v>
      </c>
      <c r="G495" s="2" t="str">
        <f>IF(_xlfn.XLOOKUP(C495,customers!$A$2:$A$1001,customers!$C$2:$C$1001,,)=0,"",_xlfn.XLOOKUP(C495,customers!$A$2:$A$1001,customers!$C$2:$C$1001,,))</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cm="1">
        <f t="array" ref="N495">_xlfn.IFS(I495="Rob","Robusta",I495="Exc","Excelsa",I495="Ara","Arabica",I495="Lib","Liberica")</f>
        <v>Robusta</v>
      </c>
      <c r="O495" t="str" cm="1">
        <f t="array" ref="O495">_xlfn.IFS(J495="M","Medium",J495="L","Light",J495="D","Dark")</f>
        <v>Medium</v>
      </c>
      <c r="P495" t="str">
        <f>_xlfn.XLOOKUP(Orders[[#This Row],[Customer ID]],customers!$A$1:$A$1001,customers!$I$1:$I$1001,,0)</f>
        <v>No</v>
      </c>
    </row>
    <row r="496" spans="1:16" x14ac:dyDescent="0.25">
      <c r="A496" s="2" t="s">
        <v>3283</v>
      </c>
      <c r="B496" s="3">
        <v>44132</v>
      </c>
      <c r="C496" s="2" t="s">
        <v>3284</v>
      </c>
      <c r="D496" t="s">
        <v>6170</v>
      </c>
      <c r="E496" s="2">
        <v>2</v>
      </c>
      <c r="F496" s="2" t="str">
        <f>_xlfn.XLOOKUP(orders!C496,customers!$A$2:$A$1001,customers!$B$2:$B$1001)</f>
        <v>Felicia Jecock</v>
      </c>
      <c r="G496" s="2" t="str">
        <f>IF(_xlfn.XLOOKUP(C496,customers!$A$2:$A$1001,customers!$C$2:$C$1001,,)=0,"",_xlfn.XLOOKUP(C496,customers!$A$2:$A$1001,customers!$C$2:$C$1001,,))</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cm="1">
        <f t="array" ref="N496">_xlfn.IFS(I496="Rob","Robusta",I496="Exc","Excelsa",I496="Ara","Arabica",I496="Lib","Liberica")</f>
        <v>Liberica</v>
      </c>
      <c r="O496" t="str" cm="1">
        <f t="array" ref="O496">_xlfn.IFS(J496="M","Medium",J496="L","Light",J496="D","Dark")</f>
        <v>Light</v>
      </c>
      <c r="P496" t="str">
        <f>_xlfn.XLOOKUP(Orders[[#This Row],[Customer ID]],customers!$A$1:$A$1001,customers!$I$1:$I$1001,,0)</f>
        <v>No</v>
      </c>
    </row>
    <row r="497" spans="1:16" x14ac:dyDescent="0.25">
      <c r="A497" s="2" t="s">
        <v>3289</v>
      </c>
      <c r="B497" s="3">
        <v>43710</v>
      </c>
      <c r="C497" s="2" t="s">
        <v>3290</v>
      </c>
      <c r="D497" t="s">
        <v>6170</v>
      </c>
      <c r="E497" s="2">
        <v>5</v>
      </c>
      <c r="F497" s="2" t="str">
        <f>_xlfn.XLOOKUP(orders!C497,customers!$A$2:$A$1001,customers!$B$2:$B$1001)</f>
        <v>Currey MacAllister</v>
      </c>
      <c r="G497" s="2" t="str">
        <f>IF(_xlfn.XLOOKUP(C497,customers!$A$2:$A$1001,customers!$C$2:$C$1001,,)=0,"",_xlfn.XLOOKUP(C497,customers!$A$2:$A$1001,customers!$C$2:$C$1001,,))</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cm="1">
        <f t="array" ref="N497">_xlfn.IFS(I497="Rob","Robusta",I497="Exc","Excelsa",I497="Ara","Arabica",I497="Lib","Liberica")</f>
        <v>Liberica</v>
      </c>
      <c r="O497" t="str" cm="1">
        <f t="array" ref="O497">_xlfn.IFS(J497="M","Medium",J497="L","Light",J497="D","Dark")</f>
        <v>Light</v>
      </c>
      <c r="P497" t="str">
        <f>_xlfn.XLOOKUP(Orders[[#This Row],[Customer ID]],customers!$A$1:$A$1001,customers!$I$1:$I$1001,,0)</f>
        <v>Yes</v>
      </c>
    </row>
    <row r="498" spans="1:16" x14ac:dyDescent="0.25">
      <c r="A498" s="2" t="s">
        <v>3294</v>
      </c>
      <c r="B498" s="3">
        <v>44438</v>
      </c>
      <c r="C498" s="2" t="s">
        <v>3295</v>
      </c>
      <c r="D498" t="s">
        <v>6153</v>
      </c>
      <c r="E498" s="2">
        <v>3</v>
      </c>
      <c r="F498" s="2" t="str">
        <f>_xlfn.XLOOKUP(orders!C498,customers!$A$2:$A$1001,customers!$B$2:$B$1001)</f>
        <v>Hamlen Pallister</v>
      </c>
      <c r="G498" s="2" t="str">
        <f>IF(_xlfn.XLOOKUP(C498,customers!$A$2:$A$1001,customers!$C$2:$C$1001,,)=0,"",_xlfn.XLOOKUP(C498,customers!$A$2:$A$1001,customers!$C$2:$C$1001,,))</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cm="1">
        <f t="array" ref="N498">_xlfn.IFS(I498="Rob","Robusta",I498="Exc","Excelsa",I498="Ara","Arabica",I498="Lib","Liberica")</f>
        <v>Excelsa</v>
      </c>
      <c r="O498" t="str" cm="1">
        <f t="array" ref="O498">_xlfn.IFS(J498="M","Medium",J498="L","Light",J498="D","Dark")</f>
        <v>Dark</v>
      </c>
      <c r="P498" t="str">
        <f>_xlfn.XLOOKUP(Orders[[#This Row],[Customer ID]],customers!$A$1:$A$1001,customers!$I$1:$I$1001,,0)</f>
        <v>No</v>
      </c>
    </row>
    <row r="499" spans="1:16" x14ac:dyDescent="0.25">
      <c r="A499" s="2" t="s">
        <v>3300</v>
      </c>
      <c r="B499" s="3">
        <v>44351</v>
      </c>
      <c r="C499" s="2" t="s">
        <v>3301</v>
      </c>
      <c r="D499" t="s">
        <v>6147</v>
      </c>
      <c r="E499" s="2">
        <v>4</v>
      </c>
      <c r="F499" s="2" t="str">
        <f>_xlfn.XLOOKUP(orders!C499,customers!$A$2:$A$1001,customers!$B$2:$B$1001)</f>
        <v>Chantal Mersh</v>
      </c>
      <c r="G499" s="2" t="str">
        <f>IF(_xlfn.XLOOKUP(C499,customers!$A$2:$A$1001,customers!$C$2:$C$1001,,)=0,"",_xlfn.XLOOKUP(C499,customers!$A$2:$A$1001,customers!$C$2:$C$1001,,))</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cm="1">
        <f t="array" ref="N499">_xlfn.IFS(I499="Rob","Robusta",I499="Exc","Excelsa",I499="Ara","Arabica",I499="Lib","Liberica")</f>
        <v>Arabica</v>
      </c>
      <c r="O499" t="str" cm="1">
        <f t="array" ref="O499">_xlfn.IFS(J499="M","Medium",J499="L","Light",J499="D","Dark")</f>
        <v>Dark</v>
      </c>
      <c r="P499" t="str">
        <f>_xlfn.XLOOKUP(Orders[[#This Row],[Customer ID]],customers!$A$1:$A$1001,customers!$I$1:$I$1001,,0)</f>
        <v>No</v>
      </c>
    </row>
    <row r="500" spans="1:16" x14ac:dyDescent="0.25">
      <c r="A500" s="2" t="s">
        <v>3307</v>
      </c>
      <c r="B500" s="3">
        <v>44159</v>
      </c>
      <c r="C500" s="2" t="s">
        <v>3368</v>
      </c>
      <c r="D500" t="s">
        <v>6138</v>
      </c>
      <c r="E500" s="2">
        <v>5</v>
      </c>
      <c r="F500" s="2" t="str">
        <f>_xlfn.XLOOKUP(orders!C500,customers!$A$2:$A$1001,customers!$B$2:$B$1001)</f>
        <v>Marja Urion</v>
      </c>
      <c r="G500" s="2" t="str">
        <f>IF(_xlfn.XLOOKUP(C500,customers!$A$2:$A$1001,customers!$C$2:$C$1001,,)=0,"",_xlfn.XLOOKUP(C500,customers!$A$2:$A$1001,customers!$C$2:$C$1001,,))</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cm="1">
        <f t="array" ref="N500">_xlfn.IFS(I500="Rob","Robusta",I500="Exc","Excelsa",I500="Ara","Arabica",I500="Lib","Liberica")</f>
        <v>Robusta</v>
      </c>
      <c r="O500" t="str" cm="1">
        <f t="array" ref="O500">_xlfn.IFS(J500="M","Medium",J500="L","Light",J500="D","Dark")</f>
        <v>Medium</v>
      </c>
      <c r="P500" t="str">
        <f>_xlfn.XLOOKUP(Orders[[#This Row],[Customer ID]],customers!$A$1:$A$1001,customers!$I$1:$I$1001,,0)</f>
        <v>Yes</v>
      </c>
    </row>
    <row r="501" spans="1:16" x14ac:dyDescent="0.25">
      <c r="A501" s="2" t="s">
        <v>3313</v>
      </c>
      <c r="B501" s="3">
        <v>44003</v>
      </c>
      <c r="C501" s="2" t="s">
        <v>3314</v>
      </c>
      <c r="D501" t="s">
        <v>6163</v>
      </c>
      <c r="E501" s="2">
        <v>3</v>
      </c>
      <c r="F501" s="2" t="str">
        <f>_xlfn.XLOOKUP(orders!C501,customers!$A$2:$A$1001,customers!$B$2:$B$1001)</f>
        <v>Malynda Purbrick</v>
      </c>
      <c r="G501" s="2" t="str">
        <f>IF(_xlfn.XLOOKUP(C501,customers!$A$2:$A$1001,customers!$C$2:$C$1001,,)=0,"",_xlfn.XLOOKUP(C501,customers!$A$2:$A$1001,customers!$C$2:$C$1001,,))</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cm="1">
        <f t="array" ref="N501">_xlfn.IFS(I501="Rob","Robusta",I501="Exc","Excelsa",I501="Ara","Arabica",I501="Lib","Liberica")</f>
        <v>Robusta</v>
      </c>
      <c r="O501" t="str" cm="1">
        <f t="array" ref="O501">_xlfn.IFS(J501="M","Medium",J501="L","Light",J501="D","Dark")</f>
        <v>Dark</v>
      </c>
      <c r="P501" t="str">
        <f>_xlfn.XLOOKUP(Orders[[#This Row],[Customer ID]],customers!$A$1:$A$1001,customers!$I$1:$I$1001,,0)</f>
        <v>Yes</v>
      </c>
    </row>
    <row r="502" spans="1:16" x14ac:dyDescent="0.25">
      <c r="A502" s="2" t="s">
        <v>3318</v>
      </c>
      <c r="B502" s="3">
        <v>44025</v>
      </c>
      <c r="C502" s="2" t="s">
        <v>3319</v>
      </c>
      <c r="D502" t="s">
        <v>6179</v>
      </c>
      <c r="E502" s="2">
        <v>4</v>
      </c>
      <c r="F502" s="2" t="str">
        <f>_xlfn.XLOOKUP(orders!C502,customers!$A$2:$A$1001,customers!$B$2:$B$1001)</f>
        <v>Alf Housaman</v>
      </c>
      <c r="G502" s="2" t="str">
        <f>IF(_xlfn.XLOOKUP(C502,customers!$A$2:$A$1001,customers!$C$2:$C$1001,,)=0,"",_xlfn.XLOOKUP(C502,customers!$A$2:$A$1001,customers!$C$2:$C$1001,,))</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cm="1">
        <f t="array" ref="N502">_xlfn.IFS(I502="Rob","Robusta",I502="Exc","Excelsa",I502="Ara","Arabica",I502="Lib","Liberica")</f>
        <v>Robusta</v>
      </c>
      <c r="O502" t="str" cm="1">
        <f t="array" ref="O502">_xlfn.IFS(J502="M","Medium",J502="L","Light",J502="D","Dark")</f>
        <v>Light</v>
      </c>
      <c r="P502" t="str">
        <f>_xlfn.XLOOKUP(Orders[[#This Row],[Customer ID]],customers!$A$1:$A$1001,customers!$I$1:$I$1001,,0)</f>
        <v>No</v>
      </c>
    </row>
    <row r="503" spans="1:16" x14ac:dyDescent="0.25">
      <c r="A503" s="2" t="s">
        <v>3323</v>
      </c>
      <c r="B503" s="3">
        <v>43467</v>
      </c>
      <c r="C503" s="2" t="s">
        <v>3324</v>
      </c>
      <c r="D503" t="s">
        <v>6174</v>
      </c>
      <c r="E503" s="2">
        <v>4</v>
      </c>
      <c r="F503" s="2" t="str">
        <f>_xlfn.XLOOKUP(orders!C503,customers!$A$2:$A$1001,customers!$B$2:$B$1001)</f>
        <v>Gladi Ducker</v>
      </c>
      <c r="G503" s="2" t="str">
        <f>IF(_xlfn.XLOOKUP(C503,customers!$A$2:$A$1001,customers!$C$2:$C$1001,,)=0,"",_xlfn.XLOOKUP(C503,customers!$A$2:$A$1001,customers!$C$2:$C$1001,,))</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cm="1">
        <f t="array" ref="N503">_xlfn.IFS(I503="Rob","Robusta",I503="Exc","Excelsa",I503="Ara","Arabica",I503="Lib","Liberica")</f>
        <v>Robusta</v>
      </c>
      <c r="O503" t="str" cm="1">
        <f t="array" ref="O503">_xlfn.IFS(J503="M","Medium",J503="L","Light",J503="D","Dark")</f>
        <v>Medium</v>
      </c>
      <c r="P503" t="str">
        <f>_xlfn.XLOOKUP(Orders[[#This Row],[Customer ID]],customers!$A$1:$A$1001,customers!$I$1:$I$1001,,0)</f>
        <v>No</v>
      </c>
    </row>
    <row r="504" spans="1:16" x14ac:dyDescent="0.25">
      <c r="A504" s="2" t="s">
        <v>3323</v>
      </c>
      <c r="B504" s="3">
        <v>43467</v>
      </c>
      <c r="C504" s="2" t="s">
        <v>3324</v>
      </c>
      <c r="D504" t="s">
        <v>6156</v>
      </c>
      <c r="E504" s="2">
        <v>4</v>
      </c>
      <c r="F504" s="2" t="str">
        <f>_xlfn.XLOOKUP(orders!C504,customers!$A$2:$A$1001,customers!$B$2:$B$1001)</f>
        <v>Gladi Ducker</v>
      </c>
      <c r="G504" s="2" t="str">
        <f>IF(_xlfn.XLOOKUP(C504,customers!$A$2:$A$1001,customers!$C$2:$C$1001,,)=0,"",_xlfn.XLOOKUP(C504,customers!$A$2:$A$1001,customers!$C$2:$C$1001,,))</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cm="1">
        <f t="array" ref="N504">_xlfn.IFS(I504="Rob","Robusta",I504="Exc","Excelsa",I504="Ara","Arabica",I504="Lib","Liberica")</f>
        <v>Excelsa</v>
      </c>
      <c r="O504" t="str" cm="1">
        <f t="array" ref="O504">_xlfn.IFS(J504="M","Medium",J504="L","Light",J504="D","Dark")</f>
        <v>Medium</v>
      </c>
      <c r="P504" t="str">
        <f>_xlfn.XLOOKUP(Orders[[#This Row],[Customer ID]],customers!$A$1:$A$1001,customers!$I$1:$I$1001,,0)</f>
        <v>No</v>
      </c>
    </row>
    <row r="505" spans="1:16" x14ac:dyDescent="0.25">
      <c r="A505" s="2" t="s">
        <v>3323</v>
      </c>
      <c r="B505" s="3">
        <v>43467</v>
      </c>
      <c r="C505" s="2" t="s">
        <v>3324</v>
      </c>
      <c r="D505" t="s">
        <v>6143</v>
      </c>
      <c r="E505" s="2">
        <v>4</v>
      </c>
      <c r="F505" s="2" t="str">
        <f>_xlfn.XLOOKUP(orders!C505,customers!$A$2:$A$1001,customers!$B$2:$B$1001)</f>
        <v>Gladi Ducker</v>
      </c>
      <c r="G505" s="2" t="str">
        <f>IF(_xlfn.XLOOKUP(C505,customers!$A$2:$A$1001,customers!$C$2:$C$1001,,)=0,"",_xlfn.XLOOKUP(C505,customers!$A$2:$A$1001,customers!$C$2:$C$1001,,))</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cm="1">
        <f t="array" ref="N505">_xlfn.IFS(I505="Rob","Robusta",I505="Exc","Excelsa",I505="Ara","Arabica",I505="Lib","Liberica")</f>
        <v>Liberica</v>
      </c>
      <c r="O505" t="str" cm="1">
        <f t="array" ref="O505">_xlfn.IFS(J505="M","Medium",J505="L","Light",J505="D","Dark")</f>
        <v>Dark</v>
      </c>
      <c r="P505" t="str">
        <f>_xlfn.XLOOKUP(Orders[[#This Row],[Customer ID]],customers!$A$1:$A$1001,customers!$I$1:$I$1001,,0)</f>
        <v>No</v>
      </c>
    </row>
    <row r="506" spans="1:16" x14ac:dyDescent="0.25">
      <c r="A506" s="2" t="s">
        <v>3323</v>
      </c>
      <c r="B506" s="3">
        <v>43467</v>
      </c>
      <c r="C506" s="2" t="s">
        <v>3324</v>
      </c>
      <c r="D506" t="s">
        <v>6145</v>
      </c>
      <c r="E506" s="2">
        <v>3</v>
      </c>
      <c r="F506" s="2" t="str">
        <f>_xlfn.XLOOKUP(orders!C506,customers!$A$2:$A$1001,customers!$B$2:$B$1001)</f>
        <v>Gladi Ducker</v>
      </c>
      <c r="G506" s="2" t="str">
        <f>IF(_xlfn.XLOOKUP(C506,customers!$A$2:$A$1001,customers!$C$2:$C$1001,,)=0,"",_xlfn.XLOOKUP(C506,customers!$A$2:$A$1001,customers!$C$2:$C$1001,,))</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cm="1">
        <f t="array" ref="N506">_xlfn.IFS(I506="Rob","Robusta",I506="Exc","Excelsa",I506="Ara","Arabica",I506="Lib","Liberica")</f>
        <v>Liberica</v>
      </c>
      <c r="O506" t="str" cm="1">
        <f t="array" ref="O506">_xlfn.IFS(J506="M","Medium",J506="L","Light",J506="D","Dark")</f>
        <v>Light</v>
      </c>
      <c r="P506" t="str">
        <f>_xlfn.XLOOKUP(Orders[[#This Row],[Customer ID]],customers!$A$1:$A$1001,customers!$I$1:$I$1001,,0)</f>
        <v>No</v>
      </c>
    </row>
    <row r="507" spans="1:16" x14ac:dyDescent="0.25">
      <c r="A507" s="2" t="s">
        <v>3343</v>
      </c>
      <c r="B507" s="3">
        <v>44609</v>
      </c>
      <c r="C507" s="2" t="s">
        <v>3344</v>
      </c>
      <c r="D507" t="s">
        <v>6159</v>
      </c>
      <c r="E507" s="2">
        <v>6</v>
      </c>
      <c r="F507" s="2" t="str">
        <f>_xlfn.XLOOKUP(orders!C507,customers!$A$2:$A$1001,customers!$B$2:$B$1001)</f>
        <v>Wain Stearley</v>
      </c>
      <c r="G507" s="2" t="str">
        <f>IF(_xlfn.XLOOKUP(C507,customers!$A$2:$A$1001,customers!$C$2:$C$1001,,)=0,"",_xlfn.XLOOKUP(C507,customers!$A$2:$A$1001,customers!$C$2:$C$1001,,))</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cm="1">
        <f t="array" ref="N507">_xlfn.IFS(I507="Rob","Robusta",I507="Exc","Excelsa",I507="Ara","Arabica",I507="Lib","Liberica")</f>
        <v>Liberica</v>
      </c>
      <c r="O507" t="str" cm="1">
        <f t="array" ref="O507">_xlfn.IFS(J507="M","Medium",J507="L","Light",J507="D","Dark")</f>
        <v>Medium</v>
      </c>
      <c r="P507" t="str">
        <f>_xlfn.XLOOKUP(Orders[[#This Row],[Customer ID]],customers!$A$1:$A$1001,customers!$I$1:$I$1001,,0)</f>
        <v>No</v>
      </c>
    </row>
    <row r="508" spans="1:16" x14ac:dyDescent="0.25">
      <c r="A508" s="2" t="s">
        <v>3349</v>
      </c>
      <c r="B508" s="3">
        <v>44184</v>
      </c>
      <c r="C508" s="2" t="s">
        <v>3350</v>
      </c>
      <c r="D508" t="s">
        <v>6140</v>
      </c>
      <c r="E508" s="2">
        <v>2</v>
      </c>
      <c r="F508" s="2" t="str">
        <f>_xlfn.XLOOKUP(orders!C508,customers!$A$2:$A$1001,customers!$B$2:$B$1001)</f>
        <v>Diane-marie Wincer</v>
      </c>
      <c r="G508" s="2" t="str">
        <f>IF(_xlfn.XLOOKUP(C508,customers!$A$2:$A$1001,customers!$C$2:$C$1001,,)=0,"",_xlfn.XLOOKUP(C508,customers!$A$2:$A$1001,customers!$C$2:$C$1001,,))</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cm="1">
        <f t="array" ref="N508">_xlfn.IFS(I508="Rob","Robusta",I508="Exc","Excelsa",I508="Ara","Arabica",I508="Lib","Liberica")</f>
        <v>Arabica</v>
      </c>
      <c r="O508" t="str" cm="1">
        <f t="array" ref="O508">_xlfn.IFS(J508="M","Medium",J508="L","Light",J508="D","Dark")</f>
        <v>Light</v>
      </c>
      <c r="P508" t="str">
        <f>_xlfn.XLOOKUP(Orders[[#This Row],[Customer ID]],customers!$A$1:$A$1001,customers!$I$1:$I$1001,,0)</f>
        <v>Yes</v>
      </c>
    </row>
    <row r="509" spans="1:16" x14ac:dyDescent="0.25">
      <c r="A509" s="2" t="s">
        <v>3355</v>
      </c>
      <c r="B509" s="3">
        <v>43516</v>
      </c>
      <c r="C509" s="2" t="s">
        <v>3356</v>
      </c>
      <c r="D509" t="s">
        <v>6182</v>
      </c>
      <c r="E509" s="2">
        <v>3</v>
      </c>
      <c r="F509" s="2" t="str">
        <f>_xlfn.XLOOKUP(orders!C509,customers!$A$2:$A$1001,customers!$B$2:$B$1001)</f>
        <v>Perry Lyfield</v>
      </c>
      <c r="G509" s="2" t="str">
        <f>IF(_xlfn.XLOOKUP(C509,customers!$A$2:$A$1001,customers!$C$2:$C$1001,,)=0,"",_xlfn.XLOOKUP(C509,customers!$A$2:$A$1001,customers!$C$2:$C$1001,,))</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cm="1">
        <f t="array" ref="N509">_xlfn.IFS(I509="Rob","Robusta",I509="Exc","Excelsa",I509="Ara","Arabica",I509="Lib","Liberica")</f>
        <v>Arabica</v>
      </c>
      <c r="O509" t="str" cm="1">
        <f t="array" ref="O509">_xlfn.IFS(J509="M","Medium",J509="L","Light",J509="D","Dark")</f>
        <v>Light</v>
      </c>
      <c r="P509" t="str">
        <f>_xlfn.XLOOKUP(Orders[[#This Row],[Customer ID]],customers!$A$1:$A$1001,customers!$I$1:$I$1001,,0)</f>
        <v>Yes</v>
      </c>
    </row>
    <row r="510" spans="1:16" x14ac:dyDescent="0.25">
      <c r="A510" s="2" t="s">
        <v>3361</v>
      </c>
      <c r="B510" s="3">
        <v>44210</v>
      </c>
      <c r="C510" s="2" t="s">
        <v>3362</v>
      </c>
      <c r="D510" t="s">
        <v>6169</v>
      </c>
      <c r="E510" s="2">
        <v>6</v>
      </c>
      <c r="F510" s="2" t="str">
        <f>_xlfn.XLOOKUP(orders!C510,customers!$A$2:$A$1001,customers!$B$2:$B$1001)</f>
        <v>Heall Perris</v>
      </c>
      <c r="G510" s="2" t="str">
        <f>IF(_xlfn.XLOOKUP(C510,customers!$A$2:$A$1001,customers!$C$2:$C$1001,,)=0,"",_xlfn.XLOOKUP(C510,customers!$A$2:$A$1001,customers!$C$2:$C$1001,,))</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cm="1">
        <f t="array" ref="N510">_xlfn.IFS(I510="Rob","Robusta",I510="Exc","Excelsa",I510="Ara","Arabica",I510="Lib","Liberica")</f>
        <v>Liberica</v>
      </c>
      <c r="O510" t="str" cm="1">
        <f t="array" ref="O510">_xlfn.IFS(J510="M","Medium",J510="L","Light",J510="D","Dark")</f>
        <v>Dark</v>
      </c>
      <c r="P510" t="str">
        <f>_xlfn.XLOOKUP(Orders[[#This Row],[Customer ID]],customers!$A$1:$A$1001,customers!$I$1:$I$1001,,0)</f>
        <v>No</v>
      </c>
    </row>
    <row r="511" spans="1:16" x14ac:dyDescent="0.25">
      <c r="A511" s="2" t="s">
        <v>3367</v>
      </c>
      <c r="B511" s="3">
        <v>43785</v>
      </c>
      <c r="C511" s="2" t="s">
        <v>3368</v>
      </c>
      <c r="D511" t="s">
        <v>6147</v>
      </c>
      <c r="E511" s="2">
        <v>3</v>
      </c>
      <c r="F511" s="2" t="str">
        <f>_xlfn.XLOOKUP(orders!C511,customers!$A$2:$A$1001,customers!$B$2:$B$1001)</f>
        <v>Marja Urion</v>
      </c>
      <c r="G511" s="2" t="str">
        <f>IF(_xlfn.XLOOKUP(C511,customers!$A$2:$A$1001,customers!$C$2:$C$1001,,)=0,"",_xlfn.XLOOKUP(C511,customers!$A$2:$A$1001,customers!$C$2:$C$1001,,))</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cm="1">
        <f t="array" ref="N511">_xlfn.IFS(I511="Rob","Robusta",I511="Exc","Excelsa",I511="Ara","Arabica",I511="Lib","Liberica")</f>
        <v>Arabica</v>
      </c>
      <c r="O511" t="str" cm="1">
        <f t="array" ref="O511">_xlfn.IFS(J511="M","Medium",J511="L","Light",J511="D","Dark")</f>
        <v>Dark</v>
      </c>
      <c r="P511" t="str">
        <f>_xlfn.XLOOKUP(Orders[[#This Row],[Customer ID]],customers!$A$1:$A$1001,customers!$I$1:$I$1001,,0)</f>
        <v>Yes</v>
      </c>
    </row>
    <row r="512" spans="1:16" x14ac:dyDescent="0.25">
      <c r="A512" s="2" t="s">
        <v>3373</v>
      </c>
      <c r="B512" s="3">
        <v>43803</v>
      </c>
      <c r="C512" s="2" t="s">
        <v>3374</v>
      </c>
      <c r="D512" t="s">
        <v>6178</v>
      </c>
      <c r="E512" s="2">
        <v>3</v>
      </c>
      <c r="F512" s="2" t="str">
        <f>_xlfn.XLOOKUP(orders!C512,customers!$A$2:$A$1001,customers!$B$2:$B$1001)</f>
        <v>Camellia Kid</v>
      </c>
      <c r="G512" s="2" t="str">
        <f>IF(_xlfn.XLOOKUP(C512,customers!$A$2:$A$1001,customers!$C$2:$C$1001,,)=0,"",_xlfn.XLOOKUP(C512,customers!$A$2:$A$1001,customers!$C$2:$C$1001,,))</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cm="1">
        <f t="array" ref="N512">_xlfn.IFS(I512="Rob","Robusta",I512="Exc","Excelsa",I512="Ara","Arabica",I512="Lib","Liberica")</f>
        <v>Robusta</v>
      </c>
      <c r="O512" t="str" cm="1">
        <f t="array" ref="O512">_xlfn.IFS(J512="M","Medium",J512="L","Light",J512="D","Dark")</f>
        <v>Light</v>
      </c>
      <c r="P512" t="str">
        <f>_xlfn.XLOOKUP(Orders[[#This Row],[Customer ID]],customers!$A$1:$A$1001,customers!$I$1:$I$1001,,0)</f>
        <v>Yes</v>
      </c>
    </row>
    <row r="513" spans="1:16" x14ac:dyDescent="0.25">
      <c r="A513" s="2" t="s">
        <v>3379</v>
      </c>
      <c r="B513" s="3">
        <v>44043</v>
      </c>
      <c r="C513" s="2" t="s">
        <v>3380</v>
      </c>
      <c r="D513" t="s">
        <v>6152</v>
      </c>
      <c r="E513" s="2">
        <v>4</v>
      </c>
      <c r="F513" s="2" t="str">
        <f>_xlfn.XLOOKUP(orders!C513,customers!$A$2:$A$1001,customers!$B$2:$B$1001)</f>
        <v>Carolann Beine</v>
      </c>
      <c r="G513" s="2" t="str">
        <f>IF(_xlfn.XLOOKUP(C513,customers!$A$2:$A$1001,customers!$C$2:$C$1001,,)=0,"",_xlfn.XLOOKUP(C513,customers!$A$2:$A$1001,customers!$C$2:$C$1001,,))</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cm="1">
        <f t="array" ref="N513">_xlfn.IFS(I513="Rob","Robusta",I513="Exc","Excelsa",I513="Ara","Arabica",I513="Lib","Liberica")</f>
        <v>Arabica</v>
      </c>
      <c r="O513" t="str" cm="1">
        <f t="array" ref="O513">_xlfn.IFS(J513="M","Medium",J513="L","Light",J513="D","Dark")</f>
        <v>Medium</v>
      </c>
      <c r="P513" t="str">
        <f>_xlfn.XLOOKUP(Orders[[#This Row],[Customer ID]],customers!$A$1:$A$1001,customers!$I$1:$I$1001,,0)</f>
        <v>Yes</v>
      </c>
    </row>
    <row r="514" spans="1:16" x14ac:dyDescent="0.25">
      <c r="A514" s="2" t="s">
        <v>3385</v>
      </c>
      <c r="B514" s="3">
        <v>43535</v>
      </c>
      <c r="C514" s="2" t="s">
        <v>3386</v>
      </c>
      <c r="D514" t="s">
        <v>6170</v>
      </c>
      <c r="E514" s="2">
        <v>3</v>
      </c>
      <c r="F514" s="2" t="str">
        <f>_xlfn.XLOOKUP(orders!C514,customers!$A$2:$A$1001,customers!$B$2:$B$1001)</f>
        <v>Celia Bakeup</v>
      </c>
      <c r="G514" s="2" t="str">
        <f>IF(_xlfn.XLOOKUP(C514,customers!$A$2:$A$1001,customers!$C$2:$C$1001,,)=0,"",_xlfn.XLOOKUP(C514,customers!$A$2:$A$1001,customers!$C$2:$C$1001,,))</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cm="1">
        <f t="array" ref="N514">_xlfn.IFS(I514="Rob","Robusta",I514="Exc","Excelsa",I514="Ara","Arabica",I514="Lib","Liberica")</f>
        <v>Liberica</v>
      </c>
      <c r="O514" t="str" cm="1">
        <f t="array" ref="O514">_xlfn.IFS(J514="M","Medium",J514="L","Light",J514="D","Dark")</f>
        <v>Light</v>
      </c>
      <c r="P514" t="str">
        <f>_xlfn.XLOOKUP(Orders[[#This Row],[Customer ID]],customers!$A$1:$A$1001,customers!$I$1:$I$1001,,0)</f>
        <v>No</v>
      </c>
    </row>
    <row r="515" spans="1:16" x14ac:dyDescent="0.25">
      <c r="A515" s="2" t="s">
        <v>3391</v>
      </c>
      <c r="B515" s="3">
        <v>44691</v>
      </c>
      <c r="C515" s="2" t="s">
        <v>3392</v>
      </c>
      <c r="D515" t="s">
        <v>6170</v>
      </c>
      <c r="E515" s="2">
        <v>5</v>
      </c>
      <c r="F515" s="2" t="str">
        <f>_xlfn.XLOOKUP(orders!C515,customers!$A$2:$A$1001,customers!$B$2:$B$1001)</f>
        <v>Nataniel Helkin</v>
      </c>
      <c r="G515" s="2" t="str">
        <f>IF(_xlfn.XLOOKUP(C515,customers!$A$2:$A$1001,customers!$C$2:$C$1001,,)=0,"",_xlfn.XLOOKUP(C515,customers!$A$2:$A$1001,customers!$C$2:$C$1001,,))</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L515*E515</f>
        <v>79.25</v>
      </c>
      <c r="N515" t="str" cm="1">
        <f t="array" ref="N515">_xlfn.IFS(I515="Rob","Robusta",I515="Exc","Excelsa",I515="Ara","Arabica",I515="Lib","Liberica")</f>
        <v>Liberica</v>
      </c>
      <c r="O515" t="str" cm="1">
        <f t="array" ref="O515">_xlfn.IFS(J515="M","Medium",J515="L","Light",J515="D","Dark")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_xlfn.XLOOKUP(orders!C516,customers!$A$2:$A$1001,customers!$B$2:$B$1001)</f>
        <v>Pippo Witherington</v>
      </c>
      <c r="G516" s="2" t="str">
        <f>IF(_xlfn.XLOOKUP(C516,customers!$A$2:$A$1001,customers!$C$2:$C$1001,,)=0,"",_xlfn.XLOOKUP(C516,customers!$A$2:$A$1001,customers!$C$2:$C$1001,,))</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cm="1">
        <f t="array" ref="N516">_xlfn.IFS(I516="Rob","Robusta",I516="Exc","Excelsa",I516="Ara","Arabica",I516="Lib","Liberica")</f>
        <v>Liberica</v>
      </c>
      <c r="O516" t="str" cm="1">
        <f t="array" ref="O516">_xlfn.IFS(J516="M","Medium",J516="L","Light",J516="D","Dark")</f>
        <v>Medium</v>
      </c>
      <c r="P516" t="str">
        <f>_xlfn.XLOOKUP(Orders[[#This Row],[Customer ID]],customers!$A$1:$A$1001,customers!$I$1:$I$1001,,0)</f>
        <v>Yes</v>
      </c>
    </row>
    <row r="517" spans="1:16" x14ac:dyDescent="0.25">
      <c r="A517" s="2" t="s">
        <v>3402</v>
      </c>
      <c r="B517" s="3">
        <v>44673</v>
      </c>
      <c r="C517" s="2" t="s">
        <v>3403</v>
      </c>
      <c r="D517" t="s">
        <v>6173</v>
      </c>
      <c r="E517" s="2">
        <v>3</v>
      </c>
      <c r="F517" s="2" t="str">
        <f>_xlfn.XLOOKUP(orders!C517,customers!$A$2:$A$1001,customers!$B$2:$B$1001)</f>
        <v>Tildie Tilzey</v>
      </c>
      <c r="G517" s="2" t="str">
        <f>IF(_xlfn.XLOOKUP(C517,customers!$A$2:$A$1001,customers!$C$2:$C$1001,,)=0,"",_xlfn.XLOOKUP(C517,customers!$A$2:$A$1001,customers!$C$2:$C$1001,,))</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cm="1">
        <f t="array" ref="N517">_xlfn.IFS(I517="Rob","Robusta",I517="Exc","Excelsa",I517="Ara","Arabica",I517="Lib","Liberica")</f>
        <v>Robusta</v>
      </c>
      <c r="O517" t="str" cm="1">
        <f t="array" ref="O517">_xlfn.IFS(J517="M","Medium",J517="L","Light",J517="D","Dark")</f>
        <v>Light</v>
      </c>
      <c r="P517" t="str">
        <f>_xlfn.XLOOKUP(Orders[[#This Row],[Customer ID]],customers!$A$1:$A$1001,customers!$I$1:$I$1001,,0)</f>
        <v>No</v>
      </c>
    </row>
    <row r="518" spans="1:16" x14ac:dyDescent="0.25">
      <c r="A518" s="2" t="s">
        <v>3408</v>
      </c>
      <c r="B518" s="3">
        <v>44723</v>
      </c>
      <c r="C518" s="2" t="s">
        <v>3409</v>
      </c>
      <c r="D518" t="s">
        <v>6149</v>
      </c>
      <c r="E518" s="2">
        <v>5</v>
      </c>
      <c r="F518" s="2" t="str">
        <f>_xlfn.XLOOKUP(orders!C518,customers!$A$2:$A$1001,customers!$B$2:$B$1001)</f>
        <v>Cindra Burling</v>
      </c>
      <c r="G518" s="2" t="str">
        <f>IF(_xlfn.XLOOKUP(C518,customers!$A$2:$A$1001,customers!$C$2:$C$1001,,)=0,"",_xlfn.XLOOKUP(C518,customers!$A$2:$A$1001,customers!$C$2:$C$1001,,))</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cm="1">
        <f t="array" ref="N518">_xlfn.IFS(I518="Rob","Robusta",I518="Exc","Excelsa",I518="Ara","Arabica",I518="Lib","Liberica")</f>
        <v>Robusta</v>
      </c>
      <c r="O518" t="str" cm="1">
        <f t="array" ref="O518">_xlfn.IFS(J518="M","Medium",J518="L","Light",J518="D","Dark")</f>
        <v>Dark</v>
      </c>
      <c r="P518" t="str">
        <f>_xlfn.XLOOKUP(Orders[[#This Row],[Customer ID]],customers!$A$1:$A$1001,customers!$I$1:$I$1001,,0)</f>
        <v>Yes</v>
      </c>
    </row>
    <row r="519" spans="1:16" x14ac:dyDescent="0.25">
      <c r="A519" s="2" t="s">
        <v>3413</v>
      </c>
      <c r="B519" s="3">
        <v>44678</v>
      </c>
      <c r="C519" s="2" t="s">
        <v>3414</v>
      </c>
      <c r="D519" t="s">
        <v>6150</v>
      </c>
      <c r="E519" s="2">
        <v>2</v>
      </c>
      <c r="F519" s="2" t="str">
        <f>_xlfn.XLOOKUP(orders!C519,customers!$A$2:$A$1001,customers!$B$2:$B$1001)</f>
        <v>Channa Belamy</v>
      </c>
      <c r="G519" s="2" t="str">
        <f>IF(_xlfn.XLOOKUP(C519,customers!$A$2:$A$1001,customers!$C$2:$C$1001,,)=0,"",_xlfn.XLOOKUP(C519,customers!$A$2:$A$1001,customers!$C$2:$C$1001,,))</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cm="1">
        <f t="array" ref="N519">_xlfn.IFS(I519="Rob","Robusta",I519="Exc","Excelsa",I519="Ara","Arabica",I519="Lib","Liberica")</f>
        <v>Liberica</v>
      </c>
      <c r="O519" t="str" cm="1">
        <f t="array" ref="O519">_xlfn.IFS(J519="M","Medium",J519="L","Light",J519="D","Dark")</f>
        <v>Dark</v>
      </c>
      <c r="P519" t="str">
        <f>_xlfn.XLOOKUP(Orders[[#This Row],[Customer ID]],customers!$A$1:$A$1001,customers!$I$1:$I$1001,,0)</f>
        <v>No</v>
      </c>
    </row>
    <row r="520" spans="1:16" x14ac:dyDescent="0.25">
      <c r="A520" s="2" t="s">
        <v>3418</v>
      </c>
      <c r="B520" s="3">
        <v>44194</v>
      </c>
      <c r="C520" s="2" t="s">
        <v>3419</v>
      </c>
      <c r="D520" t="s">
        <v>6185</v>
      </c>
      <c r="E520" s="2">
        <v>5</v>
      </c>
      <c r="F520" s="2" t="str">
        <f>_xlfn.XLOOKUP(orders!C520,customers!$A$2:$A$1001,customers!$B$2:$B$1001)</f>
        <v>Karl Imorts</v>
      </c>
      <c r="G520" s="2" t="str">
        <f>IF(_xlfn.XLOOKUP(C520,customers!$A$2:$A$1001,customers!$C$2:$C$1001,,)=0,"",_xlfn.XLOOKUP(C520,customers!$A$2:$A$1001,customers!$C$2:$C$1001,,))</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cm="1">
        <f t="array" ref="N520">_xlfn.IFS(I520="Rob","Robusta",I520="Exc","Excelsa",I520="Ara","Arabica",I520="Lib","Liberica")</f>
        <v>Excelsa</v>
      </c>
      <c r="O520" t="str" cm="1">
        <f t="array" ref="O520">_xlfn.IFS(J520="M","Medium",J520="L","Light",J520="D","Dark")</f>
        <v>Dark</v>
      </c>
      <c r="P520" t="str">
        <f>_xlfn.XLOOKUP(Orders[[#This Row],[Customer ID]],customers!$A$1:$A$1001,customers!$I$1:$I$1001,,0)</f>
        <v>No</v>
      </c>
    </row>
    <row r="521" spans="1:16" x14ac:dyDescent="0.25">
      <c r="A521" s="2" t="s">
        <v>3424</v>
      </c>
      <c r="B521" s="3">
        <v>44026</v>
      </c>
      <c r="C521" s="2" t="s">
        <v>3368</v>
      </c>
      <c r="D521" t="s">
        <v>6158</v>
      </c>
      <c r="E521" s="2">
        <v>2</v>
      </c>
      <c r="F521" s="2" t="str">
        <f>_xlfn.XLOOKUP(orders!C521,customers!$A$2:$A$1001,customers!$B$2:$B$1001)</f>
        <v>Marja Urion</v>
      </c>
      <c r="G521" s="2" t="str">
        <f>IF(_xlfn.XLOOKUP(C521,customers!$A$2:$A$1001,customers!$C$2:$C$1001,,)=0,"",_xlfn.XLOOKUP(C521,customers!$A$2:$A$1001,customers!$C$2:$C$1001,,))</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cm="1">
        <f t="array" ref="N521">_xlfn.IFS(I521="Rob","Robusta",I521="Exc","Excelsa",I521="Ara","Arabica",I521="Lib","Liberica")</f>
        <v>Arabica</v>
      </c>
      <c r="O521" t="str" cm="1">
        <f t="array" ref="O521">_xlfn.IFS(J521="M","Medium",J521="L","Light",J521="D","Dark")</f>
        <v>Dark</v>
      </c>
      <c r="P521" t="str">
        <f>_xlfn.XLOOKUP(Orders[[#This Row],[Customer ID]],customers!$A$1:$A$1001,customers!$I$1:$I$1001,,0)</f>
        <v>Yes</v>
      </c>
    </row>
    <row r="522" spans="1:16" x14ac:dyDescent="0.25">
      <c r="A522" s="2" t="s">
        <v>3430</v>
      </c>
      <c r="B522" s="3">
        <v>44446</v>
      </c>
      <c r="C522" s="2" t="s">
        <v>3431</v>
      </c>
      <c r="D522" t="s">
        <v>6150</v>
      </c>
      <c r="E522" s="2">
        <v>1</v>
      </c>
      <c r="F522" s="2" t="str">
        <f>_xlfn.XLOOKUP(orders!C522,customers!$A$2:$A$1001,customers!$B$2:$B$1001)</f>
        <v>Mag Armistead</v>
      </c>
      <c r="G522" s="2" t="str">
        <f>IF(_xlfn.XLOOKUP(C522,customers!$A$2:$A$1001,customers!$C$2:$C$1001,,)=0,"",_xlfn.XLOOKUP(C522,customers!$A$2:$A$1001,customers!$C$2:$C$1001,,))</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cm="1">
        <f t="array" ref="N522">_xlfn.IFS(I522="Rob","Robusta",I522="Exc","Excelsa",I522="Ara","Arabica",I522="Lib","Liberica")</f>
        <v>Liberica</v>
      </c>
      <c r="O522" t="str" cm="1">
        <f t="array" ref="O522">_xlfn.IFS(J522="M","Medium",J522="L","Light",J522="D","Dark")</f>
        <v>Dark</v>
      </c>
      <c r="P522" t="str">
        <f>_xlfn.XLOOKUP(Orders[[#This Row],[Customer ID]],customers!$A$1:$A$1001,customers!$I$1:$I$1001,,0)</f>
        <v>No</v>
      </c>
    </row>
    <row r="523" spans="1:16" x14ac:dyDescent="0.25">
      <c r="A523" s="2" t="s">
        <v>3430</v>
      </c>
      <c r="B523" s="3">
        <v>44446</v>
      </c>
      <c r="C523" s="2" t="s">
        <v>3431</v>
      </c>
      <c r="D523" t="s">
        <v>6138</v>
      </c>
      <c r="E523" s="2">
        <v>4</v>
      </c>
      <c r="F523" s="2" t="str">
        <f>_xlfn.XLOOKUP(orders!C523,customers!$A$2:$A$1001,customers!$B$2:$B$1001)</f>
        <v>Mag Armistead</v>
      </c>
      <c r="G523" s="2" t="str">
        <f>IF(_xlfn.XLOOKUP(C523,customers!$A$2:$A$1001,customers!$C$2:$C$1001,,)=0,"",_xlfn.XLOOKUP(C523,customers!$A$2:$A$1001,customers!$C$2:$C$1001,,))</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cm="1">
        <f t="array" ref="N523">_xlfn.IFS(I523="Rob","Robusta",I523="Exc","Excelsa",I523="Ara","Arabica",I523="Lib","Liberica")</f>
        <v>Robusta</v>
      </c>
      <c r="O523" t="str" cm="1">
        <f t="array" ref="O523">_xlfn.IFS(J523="M","Medium",J523="L","Light",J523="D","Dark")</f>
        <v>Medium</v>
      </c>
      <c r="P523" t="str">
        <f>_xlfn.XLOOKUP(Orders[[#This Row],[Customer ID]],customers!$A$1:$A$1001,customers!$I$1:$I$1001,,0)</f>
        <v>No</v>
      </c>
    </row>
    <row r="524" spans="1:16" x14ac:dyDescent="0.25">
      <c r="A524" s="2" t="s">
        <v>3441</v>
      </c>
      <c r="B524" s="3">
        <v>43625</v>
      </c>
      <c r="C524" s="2" t="s">
        <v>3442</v>
      </c>
      <c r="D524" t="s">
        <v>6146</v>
      </c>
      <c r="E524" s="2">
        <v>5</v>
      </c>
      <c r="F524" s="2" t="str">
        <f>_xlfn.XLOOKUP(orders!C524,customers!$A$2:$A$1001,customers!$B$2:$B$1001)</f>
        <v>Vasili Upstone</v>
      </c>
      <c r="G524" s="2" t="str">
        <f>IF(_xlfn.XLOOKUP(C524,customers!$A$2:$A$1001,customers!$C$2:$C$1001,,)=0,"",_xlfn.XLOOKUP(C524,customers!$A$2:$A$1001,customers!$C$2:$C$1001,,))</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cm="1">
        <f t="array" ref="N524">_xlfn.IFS(I524="Rob","Robusta",I524="Exc","Excelsa",I524="Ara","Arabica",I524="Lib","Liberica")</f>
        <v>Robusta</v>
      </c>
      <c r="O524" t="str" cm="1">
        <f t="array" ref="O524">_xlfn.IFS(J524="M","Medium",J524="L","Light",J524="D","Dark")</f>
        <v>Medium</v>
      </c>
      <c r="P524" t="str">
        <f>_xlfn.XLOOKUP(Orders[[#This Row],[Customer ID]],customers!$A$1:$A$1001,customers!$I$1:$I$1001,,0)</f>
        <v>No</v>
      </c>
    </row>
    <row r="525" spans="1:16" x14ac:dyDescent="0.25">
      <c r="A525" s="2" t="s">
        <v>3447</v>
      </c>
      <c r="B525" s="3">
        <v>44129</v>
      </c>
      <c r="C525" s="2" t="s">
        <v>3448</v>
      </c>
      <c r="D525" t="s">
        <v>6165</v>
      </c>
      <c r="E525" s="2">
        <v>1</v>
      </c>
      <c r="F525" s="2" t="str">
        <f>_xlfn.XLOOKUP(orders!C525,customers!$A$2:$A$1001,customers!$B$2:$B$1001)</f>
        <v>Berty Beelby</v>
      </c>
      <c r="G525" s="2" t="str">
        <f>IF(_xlfn.XLOOKUP(C525,customers!$A$2:$A$1001,customers!$C$2:$C$1001,,)=0,"",_xlfn.XLOOKUP(C525,customers!$A$2:$A$1001,customers!$C$2:$C$1001,,))</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cm="1">
        <f t="array" ref="N525">_xlfn.IFS(I525="Rob","Robusta",I525="Exc","Excelsa",I525="Ara","Arabica",I525="Lib","Liberica")</f>
        <v>Liberica</v>
      </c>
      <c r="O525" t="str" cm="1">
        <f t="array" ref="O525">_xlfn.IFS(J525="M","Medium",J525="L","Light",J525="D","Dark")</f>
        <v>Dark</v>
      </c>
      <c r="P525" t="str">
        <f>_xlfn.XLOOKUP(Orders[[#This Row],[Customer ID]],customers!$A$1:$A$1001,customers!$I$1:$I$1001,,0)</f>
        <v>No</v>
      </c>
    </row>
    <row r="526" spans="1:16" x14ac:dyDescent="0.25">
      <c r="A526" s="2" t="s">
        <v>3453</v>
      </c>
      <c r="B526" s="3">
        <v>44255</v>
      </c>
      <c r="C526" s="2" t="s">
        <v>3454</v>
      </c>
      <c r="D526" t="s">
        <v>6164</v>
      </c>
      <c r="E526" s="2">
        <v>2</v>
      </c>
      <c r="F526" s="2" t="str">
        <f>_xlfn.XLOOKUP(orders!C526,customers!$A$2:$A$1001,customers!$B$2:$B$1001)</f>
        <v>Erny Stenyng</v>
      </c>
      <c r="G526" s="2" t="str">
        <f>IF(_xlfn.XLOOKUP(C526,customers!$A$2:$A$1001,customers!$C$2:$C$1001,,)=0,"",_xlfn.XLOOKUP(C526,customers!$A$2:$A$1001,customers!$C$2:$C$1001,,))</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cm="1">
        <f t="array" ref="N526">_xlfn.IFS(I526="Rob","Robusta",I526="Exc","Excelsa",I526="Ara","Arabica",I526="Lib","Liberica")</f>
        <v>Liberica</v>
      </c>
      <c r="O526" t="str" cm="1">
        <f t="array" ref="O526">_xlfn.IFS(J526="M","Medium",J526="L","Light",J526="D","Dark")</f>
        <v>Light</v>
      </c>
      <c r="P526" t="str">
        <f>_xlfn.XLOOKUP(Orders[[#This Row],[Customer ID]],customers!$A$1:$A$1001,customers!$I$1:$I$1001,,0)</f>
        <v>No</v>
      </c>
    </row>
    <row r="527" spans="1:16" x14ac:dyDescent="0.25">
      <c r="A527" s="2" t="s">
        <v>3458</v>
      </c>
      <c r="B527" s="3">
        <v>44038</v>
      </c>
      <c r="C527" s="2" t="s">
        <v>3459</v>
      </c>
      <c r="D527" t="s">
        <v>6163</v>
      </c>
      <c r="E527" s="2">
        <v>5</v>
      </c>
      <c r="F527" s="2" t="str">
        <f>_xlfn.XLOOKUP(orders!C527,customers!$A$2:$A$1001,customers!$B$2:$B$1001)</f>
        <v>Edin Yantsurev</v>
      </c>
      <c r="G527" s="2" t="str">
        <f>IF(_xlfn.XLOOKUP(C527,customers!$A$2:$A$1001,customers!$C$2:$C$1001,,)=0,"",_xlfn.XLOOKUP(C527,customers!$A$2:$A$1001,customers!$C$2:$C$1001,,))</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cm="1">
        <f t="array" ref="N527">_xlfn.IFS(I527="Rob","Robusta",I527="Exc","Excelsa",I527="Ara","Arabica",I527="Lib","Liberica")</f>
        <v>Robusta</v>
      </c>
      <c r="O527" t="str" cm="1">
        <f t="array" ref="O527">_xlfn.IFS(J527="M","Medium",J527="L","Light",J527="D","Dark")</f>
        <v>Dark</v>
      </c>
      <c r="P527" t="str">
        <f>_xlfn.XLOOKUP(Orders[[#This Row],[Customer ID]],customers!$A$1:$A$1001,customers!$I$1:$I$1001,,0)</f>
        <v>Yes</v>
      </c>
    </row>
    <row r="528" spans="1:16" x14ac:dyDescent="0.25">
      <c r="A528" s="2" t="s">
        <v>3463</v>
      </c>
      <c r="B528" s="3">
        <v>44717</v>
      </c>
      <c r="C528" s="2" t="s">
        <v>3464</v>
      </c>
      <c r="D528" t="s">
        <v>6166</v>
      </c>
      <c r="E528" s="2">
        <v>4</v>
      </c>
      <c r="F528" s="2" t="str">
        <f>_xlfn.XLOOKUP(orders!C528,customers!$A$2:$A$1001,customers!$B$2:$B$1001)</f>
        <v>Webb Speechly</v>
      </c>
      <c r="G528" s="2" t="str">
        <f>IF(_xlfn.XLOOKUP(C528,customers!$A$2:$A$1001,customers!$C$2:$C$1001,,)=0,"",_xlfn.XLOOKUP(C528,customers!$A$2:$A$1001,customers!$C$2:$C$1001,,))</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cm="1">
        <f t="array" ref="N528">_xlfn.IFS(I528="Rob","Robusta",I528="Exc","Excelsa",I528="Ara","Arabica",I528="Lib","Liberica")</f>
        <v>Excelsa</v>
      </c>
      <c r="O528" t="str" cm="1">
        <f t="array" ref="O528">_xlfn.IFS(J528="M","Medium",J528="L","Light",J528="D","Dark")</f>
        <v>Medium</v>
      </c>
      <c r="P528" t="str">
        <f>_xlfn.XLOOKUP(Orders[[#This Row],[Customer ID]],customers!$A$1:$A$1001,customers!$I$1:$I$1001,,0)</f>
        <v>Yes</v>
      </c>
    </row>
    <row r="529" spans="1:16" x14ac:dyDescent="0.25">
      <c r="A529" s="2" t="s">
        <v>3469</v>
      </c>
      <c r="B529" s="3">
        <v>43517</v>
      </c>
      <c r="C529" s="2" t="s">
        <v>3470</v>
      </c>
      <c r="D529" t="s">
        <v>6139</v>
      </c>
      <c r="E529" s="2">
        <v>5</v>
      </c>
      <c r="F529" s="2" t="str">
        <f>_xlfn.XLOOKUP(orders!C529,customers!$A$2:$A$1001,customers!$B$2:$B$1001)</f>
        <v>Irvine Phillpot</v>
      </c>
      <c r="G529" s="2" t="str">
        <f>IF(_xlfn.XLOOKUP(C529,customers!$A$2:$A$1001,customers!$C$2:$C$1001,,)=0,"",_xlfn.XLOOKUP(C529,customers!$A$2:$A$1001,customers!$C$2:$C$1001,,))</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cm="1">
        <f t="array" ref="N529">_xlfn.IFS(I529="Rob","Robusta",I529="Exc","Excelsa",I529="Ara","Arabica",I529="Lib","Liberica")</f>
        <v>Excelsa</v>
      </c>
      <c r="O529" t="str" cm="1">
        <f t="array" ref="O529">_xlfn.IFS(J529="M","Medium",J529="L","Light",J529="D","Dark")</f>
        <v>Medium</v>
      </c>
      <c r="P529" t="str">
        <f>_xlfn.XLOOKUP(Orders[[#This Row],[Customer ID]],customers!$A$1:$A$1001,customers!$I$1:$I$1001,,0)</f>
        <v>No</v>
      </c>
    </row>
    <row r="530" spans="1:16" x14ac:dyDescent="0.25">
      <c r="A530" s="2" t="s">
        <v>3475</v>
      </c>
      <c r="B530" s="3">
        <v>43926</v>
      </c>
      <c r="C530" s="2" t="s">
        <v>3476</v>
      </c>
      <c r="D530" t="s">
        <v>6176</v>
      </c>
      <c r="E530" s="2">
        <v>6</v>
      </c>
      <c r="F530" s="2" t="str">
        <f>_xlfn.XLOOKUP(orders!C530,customers!$A$2:$A$1001,customers!$B$2:$B$1001)</f>
        <v>Lem Pennacci</v>
      </c>
      <c r="G530" s="2" t="str">
        <f>IF(_xlfn.XLOOKUP(C530,customers!$A$2:$A$1001,customers!$C$2:$C$1001,,)=0,"",_xlfn.XLOOKUP(C530,customers!$A$2:$A$1001,customers!$C$2:$C$1001,,))</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cm="1">
        <f t="array" ref="N530">_xlfn.IFS(I530="Rob","Robusta",I530="Exc","Excelsa",I530="Ara","Arabica",I530="Lib","Liberica")</f>
        <v>Excelsa</v>
      </c>
      <c r="O530" t="str" cm="1">
        <f t="array" ref="O530">_xlfn.IFS(J530="M","Medium",J530="L","Light",J530="D","Dark")</f>
        <v>Light</v>
      </c>
      <c r="P530" t="str">
        <f>_xlfn.XLOOKUP(Orders[[#This Row],[Customer ID]],customers!$A$1:$A$1001,customers!$I$1:$I$1001,,0)</f>
        <v>No</v>
      </c>
    </row>
    <row r="531" spans="1:16" x14ac:dyDescent="0.25">
      <c r="A531" s="2" t="s">
        <v>3481</v>
      </c>
      <c r="B531" s="3">
        <v>43475</v>
      </c>
      <c r="C531" s="2" t="s">
        <v>3482</v>
      </c>
      <c r="D531" t="s">
        <v>6138</v>
      </c>
      <c r="E531" s="2">
        <v>6</v>
      </c>
      <c r="F531" s="2" t="str">
        <f>_xlfn.XLOOKUP(orders!C531,customers!$A$2:$A$1001,customers!$B$2:$B$1001)</f>
        <v>Starr Arpin</v>
      </c>
      <c r="G531" s="2" t="str">
        <f>IF(_xlfn.XLOOKUP(C531,customers!$A$2:$A$1001,customers!$C$2:$C$1001,,)=0,"",_xlfn.XLOOKUP(C531,customers!$A$2:$A$1001,customers!$C$2:$C$1001,,))</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cm="1">
        <f t="array" ref="N531">_xlfn.IFS(I531="Rob","Robusta",I531="Exc","Excelsa",I531="Ara","Arabica",I531="Lib","Liberica")</f>
        <v>Robusta</v>
      </c>
      <c r="O531" t="str" cm="1">
        <f t="array" ref="O531">_xlfn.IFS(J531="M","Medium",J531="L","Light",J531="D","Dark")</f>
        <v>Medium</v>
      </c>
      <c r="P531" t="str">
        <f>_xlfn.XLOOKUP(Orders[[#This Row],[Customer ID]],customers!$A$1:$A$1001,customers!$I$1:$I$1001,,0)</f>
        <v>No</v>
      </c>
    </row>
    <row r="532" spans="1:16" x14ac:dyDescent="0.25">
      <c r="A532" s="2" t="s">
        <v>3487</v>
      </c>
      <c r="B532" s="3">
        <v>44663</v>
      </c>
      <c r="C532" s="2" t="s">
        <v>3488</v>
      </c>
      <c r="D532" t="s">
        <v>6138</v>
      </c>
      <c r="E532" s="2">
        <v>6</v>
      </c>
      <c r="F532" s="2" t="str">
        <f>_xlfn.XLOOKUP(orders!C532,customers!$A$2:$A$1001,customers!$B$2:$B$1001)</f>
        <v>Donny Fries</v>
      </c>
      <c r="G532" s="2" t="str">
        <f>IF(_xlfn.XLOOKUP(C532,customers!$A$2:$A$1001,customers!$C$2:$C$1001,,)=0,"",_xlfn.XLOOKUP(C532,customers!$A$2:$A$1001,customers!$C$2:$C$1001,,))</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cm="1">
        <f t="array" ref="N532">_xlfn.IFS(I532="Rob","Robusta",I532="Exc","Excelsa",I532="Ara","Arabica",I532="Lib","Liberica")</f>
        <v>Robusta</v>
      </c>
      <c r="O532" t="str" cm="1">
        <f t="array" ref="O532">_xlfn.IFS(J532="M","Medium",J532="L","Light",J532="D","Dark")</f>
        <v>Medium</v>
      </c>
      <c r="P532" t="str">
        <f>_xlfn.XLOOKUP(Orders[[#This Row],[Customer ID]],customers!$A$1:$A$1001,customers!$I$1:$I$1001,,0)</f>
        <v>No</v>
      </c>
    </row>
    <row r="533" spans="1:16" x14ac:dyDescent="0.25">
      <c r="A533" s="2" t="s">
        <v>3493</v>
      </c>
      <c r="B533" s="3">
        <v>44591</v>
      </c>
      <c r="C533" s="2" t="s">
        <v>3494</v>
      </c>
      <c r="D533" t="s">
        <v>6177</v>
      </c>
      <c r="E533" s="2">
        <v>5</v>
      </c>
      <c r="F533" s="2" t="str">
        <f>_xlfn.XLOOKUP(orders!C533,customers!$A$2:$A$1001,customers!$B$2:$B$1001)</f>
        <v>Rana Sharer</v>
      </c>
      <c r="G533" s="2" t="str">
        <f>IF(_xlfn.XLOOKUP(C533,customers!$A$2:$A$1001,customers!$C$2:$C$1001,,)=0,"",_xlfn.XLOOKUP(C533,customers!$A$2:$A$1001,customers!$C$2:$C$1001,,))</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cm="1">
        <f t="array" ref="N533">_xlfn.IFS(I533="Rob","Robusta",I533="Exc","Excelsa",I533="Ara","Arabica",I533="Lib","Liberica")</f>
        <v>Robusta</v>
      </c>
      <c r="O533" t="str" cm="1">
        <f t="array" ref="O533">_xlfn.IFS(J533="M","Medium",J533="L","Light",J533="D","Dark")</f>
        <v>Dark</v>
      </c>
      <c r="P533" t="str">
        <f>_xlfn.XLOOKUP(Orders[[#This Row],[Customer ID]],customers!$A$1:$A$1001,customers!$I$1:$I$1001,,0)</f>
        <v>No</v>
      </c>
    </row>
    <row r="534" spans="1:16" x14ac:dyDescent="0.25">
      <c r="A534" s="2" t="s">
        <v>3499</v>
      </c>
      <c r="B534" s="3">
        <v>44330</v>
      </c>
      <c r="C534" s="2" t="s">
        <v>3500</v>
      </c>
      <c r="D534" t="s">
        <v>6139</v>
      </c>
      <c r="E534" s="2">
        <v>2</v>
      </c>
      <c r="F534" s="2" t="str">
        <f>_xlfn.XLOOKUP(orders!C534,customers!$A$2:$A$1001,customers!$B$2:$B$1001)</f>
        <v>Nannie Naseby</v>
      </c>
      <c r="G534" s="2" t="str">
        <f>IF(_xlfn.XLOOKUP(C534,customers!$A$2:$A$1001,customers!$C$2:$C$1001,,)=0,"",_xlfn.XLOOKUP(C534,customers!$A$2:$A$1001,customers!$C$2:$C$1001,,))</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cm="1">
        <f t="array" ref="N534">_xlfn.IFS(I534="Rob","Robusta",I534="Exc","Excelsa",I534="Ara","Arabica",I534="Lib","Liberica")</f>
        <v>Excelsa</v>
      </c>
      <c r="O534" t="str" cm="1">
        <f t="array" ref="O534">_xlfn.IFS(J534="M","Medium",J534="L","Light",J534="D","Dark")</f>
        <v>Medium</v>
      </c>
      <c r="P534" t="str">
        <f>_xlfn.XLOOKUP(Orders[[#This Row],[Customer ID]],customers!$A$1:$A$1001,customers!$I$1:$I$1001,,0)</f>
        <v>Yes</v>
      </c>
    </row>
    <row r="535" spans="1:16" x14ac:dyDescent="0.25">
      <c r="A535" s="2" t="s">
        <v>3505</v>
      </c>
      <c r="B535" s="3">
        <v>44724</v>
      </c>
      <c r="C535" s="2" t="s">
        <v>3506</v>
      </c>
      <c r="D535" t="s">
        <v>6172</v>
      </c>
      <c r="E535" s="2">
        <v>4</v>
      </c>
      <c r="F535" s="2" t="str">
        <f>_xlfn.XLOOKUP(orders!C535,customers!$A$2:$A$1001,customers!$B$2:$B$1001)</f>
        <v>Rea Offell</v>
      </c>
      <c r="G535" s="2" t="str">
        <f>IF(_xlfn.XLOOKUP(C535,customers!$A$2:$A$1001,customers!$C$2:$C$1001,,)=0,"",_xlfn.XLOOKUP(C535,customers!$A$2:$A$1001,customers!$C$2:$C$1001,,))</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cm="1">
        <f t="array" ref="N535">_xlfn.IFS(I535="Rob","Robusta",I535="Exc","Excelsa",I535="Ara","Arabica",I535="Lib","Liberica")</f>
        <v>Robusta</v>
      </c>
      <c r="O535" t="str" cm="1">
        <f t="array" ref="O535">_xlfn.IFS(J535="M","Medium",J535="L","Light",J535="D","Dark")</f>
        <v>Dark</v>
      </c>
      <c r="P535" t="str">
        <f>_xlfn.XLOOKUP(Orders[[#This Row],[Customer ID]],customers!$A$1:$A$1001,customers!$I$1:$I$1001,,0)</f>
        <v>No</v>
      </c>
    </row>
    <row r="536" spans="1:16" x14ac:dyDescent="0.25">
      <c r="A536" s="2" t="s">
        <v>3510</v>
      </c>
      <c r="B536" s="3">
        <v>44563</v>
      </c>
      <c r="C536" s="2" t="s">
        <v>3511</v>
      </c>
      <c r="D536" t="s">
        <v>6151</v>
      </c>
      <c r="E536" s="2">
        <v>2</v>
      </c>
      <c r="F536" s="2" t="str">
        <f>_xlfn.XLOOKUP(orders!C536,customers!$A$2:$A$1001,customers!$B$2:$B$1001)</f>
        <v>Kris O'Cullen</v>
      </c>
      <c r="G536" s="2" t="str">
        <f>IF(_xlfn.XLOOKUP(C536,customers!$A$2:$A$1001,customers!$C$2:$C$1001,,)=0,"",_xlfn.XLOOKUP(C536,customers!$A$2:$A$1001,customers!$C$2:$C$1001,,))</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cm="1">
        <f t="array" ref="N536">_xlfn.IFS(I536="Rob","Robusta",I536="Exc","Excelsa",I536="Ara","Arabica",I536="Lib","Liberica")</f>
        <v>Robusta</v>
      </c>
      <c r="O536" t="str" cm="1">
        <f t="array" ref="O536">_xlfn.IFS(J536="M","Medium",J536="L","Light",J536="D","Dark")</f>
        <v>Medium</v>
      </c>
      <c r="P536" t="str">
        <f>_xlfn.XLOOKUP(Orders[[#This Row],[Customer ID]],customers!$A$1:$A$1001,customers!$I$1:$I$1001,,0)</f>
        <v>Yes</v>
      </c>
    </row>
    <row r="537" spans="1:16" x14ac:dyDescent="0.25">
      <c r="A537" s="2" t="s">
        <v>3516</v>
      </c>
      <c r="B537" s="3">
        <v>44585</v>
      </c>
      <c r="C537" s="2" t="s">
        <v>3517</v>
      </c>
      <c r="D537" t="s">
        <v>6145</v>
      </c>
      <c r="E537" s="2">
        <v>2</v>
      </c>
      <c r="F537" s="2" t="str">
        <f>_xlfn.XLOOKUP(orders!C537,customers!$A$2:$A$1001,customers!$B$2:$B$1001)</f>
        <v>Timoteo Glisane</v>
      </c>
      <c r="G537" s="2" t="str">
        <f>IF(_xlfn.XLOOKUP(C537,customers!$A$2:$A$1001,customers!$C$2:$C$1001,,)=0,"",_xlfn.XLOOKUP(C537,customers!$A$2:$A$1001,customers!$C$2:$C$1001,,))</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cm="1">
        <f t="array" ref="N537">_xlfn.IFS(I537="Rob","Robusta",I537="Exc","Excelsa",I537="Ara","Arabica",I537="Lib","Liberica")</f>
        <v>Liberica</v>
      </c>
      <c r="O537" t="str" cm="1">
        <f t="array" ref="O537">_xlfn.IFS(J537="M","Medium",J537="L","Light",J537="D","Dark")</f>
        <v>Light</v>
      </c>
      <c r="P537" t="str">
        <f>_xlfn.XLOOKUP(Orders[[#This Row],[Customer ID]],customers!$A$1:$A$1001,customers!$I$1:$I$1001,,0)</f>
        <v>No</v>
      </c>
    </row>
    <row r="538" spans="1:16" x14ac:dyDescent="0.25">
      <c r="A538" s="2" t="s">
        <v>3521</v>
      </c>
      <c r="B538" s="3">
        <v>43544</v>
      </c>
      <c r="C538" s="2" t="s">
        <v>3368</v>
      </c>
      <c r="D538" t="s">
        <v>6163</v>
      </c>
      <c r="E538" s="2">
        <v>3</v>
      </c>
      <c r="F538" s="2" t="str">
        <f>_xlfn.XLOOKUP(orders!C538,customers!$A$2:$A$1001,customers!$B$2:$B$1001)</f>
        <v>Marja Urion</v>
      </c>
      <c r="G538" s="2" t="str">
        <f>IF(_xlfn.XLOOKUP(C538,customers!$A$2:$A$1001,customers!$C$2:$C$1001,,)=0,"",_xlfn.XLOOKUP(C538,customers!$A$2:$A$1001,customers!$C$2:$C$1001,,))</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cm="1">
        <f t="array" ref="N538">_xlfn.IFS(I538="Rob","Robusta",I538="Exc","Excelsa",I538="Ara","Arabica",I538="Lib","Liberica")</f>
        <v>Robusta</v>
      </c>
      <c r="O538" t="str" cm="1">
        <f t="array" ref="O538">_xlfn.IFS(J538="M","Medium",J538="L","Light",J538="D","Dark")</f>
        <v>Dark</v>
      </c>
      <c r="P538" t="str">
        <f>_xlfn.XLOOKUP(Orders[[#This Row],[Customer ID]],customers!$A$1:$A$1001,customers!$I$1:$I$1001,,0)</f>
        <v>Yes</v>
      </c>
    </row>
    <row r="539" spans="1:16" x14ac:dyDescent="0.25">
      <c r="A539" s="2" t="s">
        <v>3527</v>
      </c>
      <c r="B539" s="3">
        <v>44156</v>
      </c>
      <c r="C539" s="2" t="s">
        <v>3528</v>
      </c>
      <c r="D539" t="s">
        <v>6185</v>
      </c>
      <c r="E539" s="2">
        <v>4</v>
      </c>
      <c r="F539" s="2" t="str">
        <f>_xlfn.XLOOKUP(orders!C539,customers!$A$2:$A$1001,customers!$B$2:$B$1001)</f>
        <v>Hildegarde Brangan</v>
      </c>
      <c r="G539" s="2" t="str">
        <f>IF(_xlfn.XLOOKUP(C539,customers!$A$2:$A$1001,customers!$C$2:$C$1001,,)=0,"",_xlfn.XLOOKUP(C539,customers!$A$2:$A$1001,customers!$C$2:$C$1001,,))</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cm="1">
        <f t="array" ref="N539">_xlfn.IFS(I539="Rob","Robusta",I539="Exc","Excelsa",I539="Ara","Arabica",I539="Lib","Liberica")</f>
        <v>Excelsa</v>
      </c>
      <c r="O539" t="str" cm="1">
        <f t="array" ref="O539">_xlfn.IFS(J539="M","Medium",J539="L","Light",J539="D","Dark")</f>
        <v>Dark</v>
      </c>
      <c r="P539" t="str">
        <f>_xlfn.XLOOKUP(Orders[[#This Row],[Customer ID]],customers!$A$1:$A$1001,customers!$I$1:$I$1001,,0)</f>
        <v>Yes</v>
      </c>
    </row>
    <row r="540" spans="1:16" x14ac:dyDescent="0.25">
      <c r="A540" s="2" t="s">
        <v>3532</v>
      </c>
      <c r="B540" s="3">
        <v>44482</v>
      </c>
      <c r="C540" s="2" t="s">
        <v>3533</v>
      </c>
      <c r="D540" t="s">
        <v>6163</v>
      </c>
      <c r="E540" s="2">
        <v>4</v>
      </c>
      <c r="F540" s="2" t="str">
        <f>_xlfn.XLOOKUP(orders!C540,customers!$A$2:$A$1001,customers!$B$2:$B$1001)</f>
        <v>Amii Gallyon</v>
      </c>
      <c r="G540" s="2" t="str">
        <f>IF(_xlfn.XLOOKUP(C540,customers!$A$2:$A$1001,customers!$C$2:$C$1001,,)=0,"",_xlfn.XLOOKUP(C540,customers!$A$2:$A$1001,customers!$C$2:$C$1001,,))</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cm="1">
        <f t="array" ref="N540">_xlfn.IFS(I540="Rob","Robusta",I540="Exc","Excelsa",I540="Ara","Arabica",I540="Lib","Liberica")</f>
        <v>Robusta</v>
      </c>
      <c r="O540" t="str" cm="1">
        <f t="array" ref="O540">_xlfn.IFS(J540="M","Medium",J540="L","Light",J540="D","Dark")</f>
        <v>Dark</v>
      </c>
      <c r="P540" t="str">
        <f>_xlfn.XLOOKUP(Orders[[#This Row],[Customer ID]],customers!$A$1:$A$1001,customers!$I$1:$I$1001,,0)</f>
        <v>Yes</v>
      </c>
    </row>
    <row r="541" spans="1:16" x14ac:dyDescent="0.25">
      <c r="A541" s="2" t="s">
        <v>3537</v>
      </c>
      <c r="B541" s="3">
        <v>44488</v>
      </c>
      <c r="C541" s="2" t="s">
        <v>3538</v>
      </c>
      <c r="D541" t="s">
        <v>6172</v>
      </c>
      <c r="E541" s="2">
        <v>5</v>
      </c>
      <c r="F541" s="2" t="str">
        <f>_xlfn.XLOOKUP(orders!C541,customers!$A$2:$A$1001,customers!$B$2:$B$1001)</f>
        <v>Birgit Domange</v>
      </c>
      <c r="G541" s="2" t="str">
        <f>IF(_xlfn.XLOOKUP(C541,customers!$A$2:$A$1001,customers!$C$2:$C$1001,,)=0,"",_xlfn.XLOOKUP(C541,customers!$A$2:$A$1001,customers!$C$2:$C$1001,,))</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cm="1">
        <f t="array" ref="N541">_xlfn.IFS(I541="Rob","Robusta",I541="Exc","Excelsa",I541="Ara","Arabica",I541="Lib","Liberica")</f>
        <v>Robusta</v>
      </c>
      <c r="O541" t="str" cm="1">
        <f t="array" ref="O541">_xlfn.IFS(J541="M","Medium",J541="L","Light",J541="D","Dark")</f>
        <v>Dark</v>
      </c>
      <c r="P541" t="str">
        <f>_xlfn.XLOOKUP(Orders[[#This Row],[Customer ID]],customers!$A$1:$A$1001,customers!$I$1:$I$1001,,0)</f>
        <v>No</v>
      </c>
    </row>
    <row r="542" spans="1:16" x14ac:dyDescent="0.25">
      <c r="A542" s="2" t="s">
        <v>3542</v>
      </c>
      <c r="B542" s="3">
        <v>43584</v>
      </c>
      <c r="C542" s="2" t="s">
        <v>3543</v>
      </c>
      <c r="D542" t="s">
        <v>6170</v>
      </c>
      <c r="E542" s="2">
        <v>4</v>
      </c>
      <c r="F542" s="2" t="str">
        <f>_xlfn.XLOOKUP(orders!C542,customers!$A$2:$A$1001,customers!$B$2:$B$1001)</f>
        <v>Killian Osler</v>
      </c>
      <c r="G542" s="2" t="str">
        <f>IF(_xlfn.XLOOKUP(C542,customers!$A$2:$A$1001,customers!$C$2:$C$1001,,)=0,"",_xlfn.XLOOKUP(C542,customers!$A$2:$A$1001,customers!$C$2:$C$1001,,))</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cm="1">
        <f t="array" ref="N542">_xlfn.IFS(I542="Rob","Robusta",I542="Exc","Excelsa",I542="Ara","Arabica",I542="Lib","Liberica")</f>
        <v>Liberica</v>
      </c>
      <c r="O542" t="str" cm="1">
        <f t="array" ref="O542">_xlfn.IFS(J542="M","Medium",J542="L","Light",J542="D","Dark")</f>
        <v>Light</v>
      </c>
      <c r="P542" t="str">
        <f>_xlfn.XLOOKUP(Orders[[#This Row],[Customer ID]],customers!$A$1:$A$1001,customers!$I$1:$I$1001,,0)</f>
        <v>Yes</v>
      </c>
    </row>
    <row r="543" spans="1:16" x14ac:dyDescent="0.25">
      <c r="A543" s="2" t="s">
        <v>3548</v>
      </c>
      <c r="B543" s="3">
        <v>43750</v>
      </c>
      <c r="C543" s="2" t="s">
        <v>3549</v>
      </c>
      <c r="D543" t="s">
        <v>6168</v>
      </c>
      <c r="E543" s="2">
        <v>1</v>
      </c>
      <c r="F543" s="2" t="str">
        <f>_xlfn.XLOOKUP(orders!C543,customers!$A$2:$A$1001,customers!$B$2:$B$1001)</f>
        <v>Lora Dukes</v>
      </c>
      <c r="G543" s="2" t="str">
        <f>IF(_xlfn.XLOOKUP(C543,customers!$A$2:$A$1001,customers!$C$2:$C$1001,,)=0,"",_xlfn.XLOOKUP(C543,customers!$A$2:$A$1001,customers!$C$2:$C$1001,,))</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cm="1">
        <f t="array" ref="N543">_xlfn.IFS(I543="Rob","Robusta",I543="Exc","Excelsa",I543="Ara","Arabica",I543="Lib","Liberica")</f>
        <v>Arabica</v>
      </c>
      <c r="O543" t="str" cm="1">
        <f t="array" ref="O543">_xlfn.IFS(J543="M","Medium",J543="L","Light",J543="D","Dark")</f>
        <v>Dark</v>
      </c>
      <c r="P543" t="str">
        <f>_xlfn.XLOOKUP(Orders[[#This Row],[Customer ID]],customers!$A$1:$A$1001,customers!$I$1:$I$1001,,0)</f>
        <v>Yes</v>
      </c>
    </row>
    <row r="544" spans="1:16" x14ac:dyDescent="0.25">
      <c r="A544" s="2" t="s">
        <v>3553</v>
      </c>
      <c r="B544" s="3">
        <v>44335</v>
      </c>
      <c r="C544" s="2" t="s">
        <v>3554</v>
      </c>
      <c r="D544" t="s">
        <v>6175</v>
      </c>
      <c r="E544" s="2">
        <v>4</v>
      </c>
      <c r="F544" s="2" t="str">
        <f>_xlfn.XLOOKUP(orders!C544,customers!$A$2:$A$1001,customers!$B$2:$B$1001)</f>
        <v>Zack Pellett</v>
      </c>
      <c r="G544" s="2" t="str">
        <f>IF(_xlfn.XLOOKUP(C544,customers!$A$2:$A$1001,customers!$C$2:$C$1001,,)=0,"",_xlfn.XLOOKUP(C544,customers!$A$2:$A$1001,customers!$C$2:$C$1001,,))</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cm="1">
        <f t="array" ref="N544">_xlfn.IFS(I544="Rob","Robusta",I544="Exc","Excelsa",I544="Ara","Arabica",I544="Lib","Liberica")</f>
        <v>Arabica</v>
      </c>
      <c r="O544" t="str" cm="1">
        <f t="array" ref="O544">_xlfn.IFS(J544="M","Medium",J544="L","Light",J544="D","Dark")</f>
        <v>Medium</v>
      </c>
      <c r="P544" t="str">
        <f>_xlfn.XLOOKUP(Orders[[#This Row],[Customer ID]],customers!$A$1:$A$1001,customers!$I$1:$I$1001,,0)</f>
        <v>No</v>
      </c>
    </row>
    <row r="545" spans="1:16" x14ac:dyDescent="0.25">
      <c r="A545" s="2" t="s">
        <v>3559</v>
      </c>
      <c r="B545" s="3">
        <v>44380</v>
      </c>
      <c r="C545" s="2" t="s">
        <v>3560</v>
      </c>
      <c r="D545" t="s">
        <v>6142</v>
      </c>
      <c r="E545" s="2">
        <v>2</v>
      </c>
      <c r="F545" s="2" t="str">
        <f>_xlfn.XLOOKUP(orders!C545,customers!$A$2:$A$1001,customers!$B$2:$B$1001)</f>
        <v>Ilaire Sprakes</v>
      </c>
      <c r="G545" s="2" t="str">
        <f>IF(_xlfn.XLOOKUP(C545,customers!$A$2:$A$1001,customers!$C$2:$C$1001,,)=0,"",_xlfn.XLOOKUP(C545,customers!$A$2:$A$1001,customers!$C$2:$C$1001,,))</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cm="1">
        <f t="array" ref="N545">_xlfn.IFS(I545="Rob","Robusta",I545="Exc","Excelsa",I545="Ara","Arabica",I545="Lib","Liberica")</f>
        <v>Robusta</v>
      </c>
      <c r="O545" t="str" cm="1">
        <f t="array" ref="O545">_xlfn.IFS(J545="M","Medium",J545="L","Light",J545="D","Dark")</f>
        <v>Light</v>
      </c>
      <c r="P545" t="str">
        <f>_xlfn.XLOOKUP(Orders[[#This Row],[Customer ID]],customers!$A$1:$A$1001,customers!$I$1:$I$1001,,0)</f>
        <v>No</v>
      </c>
    </row>
    <row r="546" spans="1:16" x14ac:dyDescent="0.25">
      <c r="A546" s="2" t="s">
        <v>3565</v>
      </c>
      <c r="B546" s="3">
        <v>43869</v>
      </c>
      <c r="C546" s="2" t="s">
        <v>3566</v>
      </c>
      <c r="D546" t="s">
        <v>6180</v>
      </c>
      <c r="E546" s="2">
        <v>2</v>
      </c>
      <c r="F546" s="2" t="str">
        <f>_xlfn.XLOOKUP(orders!C546,customers!$A$2:$A$1001,customers!$B$2:$B$1001)</f>
        <v>Heda Fromant</v>
      </c>
      <c r="G546" s="2" t="str">
        <f>IF(_xlfn.XLOOKUP(C546,customers!$A$2:$A$1001,customers!$C$2:$C$1001,,)=0,"",_xlfn.XLOOKUP(C546,customers!$A$2:$A$1001,customers!$C$2:$C$1001,,))</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cm="1">
        <f t="array" ref="N546">_xlfn.IFS(I546="Rob","Robusta",I546="Exc","Excelsa",I546="Ara","Arabica",I546="Lib","Liberica")</f>
        <v>Arabica</v>
      </c>
      <c r="O546" t="str" cm="1">
        <f t="array" ref="O546">_xlfn.IFS(J546="M","Medium",J546="L","Light",J546="D","Dark")</f>
        <v>Light</v>
      </c>
      <c r="P546" t="str">
        <f>_xlfn.XLOOKUP(Orders[[#This Row],[Customer ID]],customers!$A$1:$A$1001,customers!$I$1:$I$1001,,0)</f>
        <v>No</v>
      </c>
    </row>
    <row r="547" spans="1:16" x14ac:dyDescent="0.25">
      <c r="A547" s="2" t="s">
        <v>3571</v>
      </c>
      <c r="B547" s="3">
        <v>44120</v>
      </c>
      <c r="C547" s="2" t="s">
        <v>3572</v>
      </c>
      <c r="D547" t="s">
        <v>6150</v>
      </c>
      <c r="E547" s="2">
        <v>4</v>
      </c>
      <c r="F547" s="2" t="str">
        <f>_xlfn.XLOOKUP(orders!C547,customers!$A$2:$A$1001,customers!$B$2:$B$1001)</f>
        <v>Rufus Flear</v>
      </c>
      <c r="G547" s="2" t="str">
        <f>IF(_xlfn.XLOOKUP(C547,customers!$A$2:$A$1001,customers!$C$2:$C$1001,,)=0,"",_xlfn.XLOOKUP(C547,customers!$A$2:$A$1001,customers!$C$2:$C$1001,,))</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cm="1">
        <f t="array" ref="N547">_xlfn.IFS(I547="Rob","Robusta",I547="Exc","Excelsa",I547="Ara","Arabica",I547="Lib","Liberica")</f>
        <v>Liberica</v>
      </c>
      <c r="O547" t="str" cm="1">
        <f t="array" ref="O547">_xlfn.IFS(J547="M","Medium",J547="L","Light",J547="D","Dark")</f>
        <v>Dark</v>
      </c>
      <c r="P547" t="str">
        <f>_xlfn.XLOOKUP(Orders[[#This Row],[Customer ID]],customers!$A$1:$A$1001,customers!$I$1:$I$1001,,0)</f>
        <v>No</v>
      </c>
    </row>
    <row r="548" spans="1:16" x14ac:dyDescent="0.25">
      <c r="A548" s="2" t="s">
        <v>3577</v>
      </c>
      <c r="B548" s="3">
        <v>44127</v>
      </c>
      <c r="C548" s="2" t="s">
        <v>3578</v>
      </c>
      <c r="D548" t="s">
        <v>6185</v>
      </c>
      <c r="E548" s="2">
        <v>3</v>
      </c>
      <c r="F548" s="2" t="str">
        <f>_xlfn.XLOOKUP(orders!C548,customers!$A$2:$A$1001,customers!$B$2:$B$1001)</f>
        <v>Dom Milella</v>
      </c>
      <c r="G548" s="2" t="str">
        <f>IF(_xlfn.XLOOKUP(C548,customers!$A$2:$A$1001,customers!$C$2:$C$1001,,)=0,"",_xlfn.XLOOKUP(C548,customers!$A$2:$A$1001,customers!$C$2:$C$1001,,))</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cm="1">
        <f t="array" ref="N548">_xlfn.IFS(I548="Rob","Robusta",I548="Exc","Excelsa",I548="Ara","Arabica",I548="Lib","Liberica")</f>
        <v>Excelsa</v>
      </c>
      <c r="O548" t="str" cm="1">
        <f t="array" ref="O548">_xlfn.IFS(J548="M","Medium",J548="L","Light",J548="D","Dark")</f>
        <v>Dark</v>
      </c>
      <c r="P548" t="str">
        <f>_xlfn.XLOOKUP(Orders[[#This Row],[Customer ID]],customers!$A$1:$A$1001,customers!$I$1:$I$1001,,0)</f>
        <v>No</v>
      </c>
    </row>
    <row r="549" spans="1:16" x14ac:dyDescent="0.25">
      <c r="A549" s="2" t="s">
        <v>3582</v>
      </c>
      <c r="B549" s="3">
        <v>44265</v>
      </c>
      <c r="C549" s="2" t="s">
        <v>3594</v>
      </c>
      <c r="D549" t="s">
        <v>6178</v>
      </c>
      <c r="E549" s="2">
        <v>3</v>
      </c>
      <c r="F549" s="2" t="str">
        <f>_xlfn.XLOOKUP(orders!C549,customers!$A$2:$A$1001,customers!$B$2:$B$1001)</f>
        <v>Wilek Lightollers</v>
      </c>
      <c r="G549" s="2" t="str">
        <f>IF(_xlfn.XLOOKUP(C549,customers!$A$2:$A$1001,customers!$C$2:$C$1001,,)=0,"",_xlfn.XLOOKUP(C549,customers!$A$2:$A$1001,customers!$C$2:$C$1001,,))</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cm="1">
        <f t="array" ref="N549">_xlfn.IFS(I549="Rob","Robusta",I549="Exc","Excelsa",I549="Ara","Arabica",I549="Lib","Liberica")</f>
        <v>Robusta</v>
      </c>
      <c r="O549" t="str" cm="1">
        <f t="array" ref="O549">_xlfn.IFS(J549="M","Medium",J549="L","Light",J549="D","Dark")</f>
        <v>Light</v>
      </c>
      <c r="P549" t="str">
        <f>_xlfn.XLOOKUP(Orders[[#This Row],[Customer ID]],customers!$A$1:$A$1001,customers!$I$1:$I$1001,,0)</f>
        <v>Yes</v>
      </c>
    </row>
    <row r="550" spans="1:16" x14ac:dyDescent="0.25">
      <c r="A550" s="2" t="s">
        <v>3587</v>
      </c>
      <c r="B550" s="3">
        <v>44384</v>
      </c>
      <c r="C550" s="2" t="s">
        <v>3588</v>
      </c>
      <c r="D550" t="s">
        <v>6184</v>
      </c>
      <c r="E550" s="2">
        <v>3</v>
      </c>
      <c r="F550" s="2" t="str">
        <f>_xlfn.XLOOKUP(orders!C550,customers!$A$2:$A$1001,customers!$B$2:$B$1001)</f>
        <v>Bette-ann Munden</v>
      </c>
      <c r="G550" s="2" t="str">
        <f>IF(_xlfn.XLOOKUP(C550,customers!$A$2:$A$1001,customers!$C$2:$C$1001,,)=0,"",_xlfn.XLOOKUP(C550,customers!$A$2:$A$1001,customers!$C$2:$C$1001,,))</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cm="1">
        <f t="array" ref="N550">_xlfn.IFS(I550="Rob","Robusta",I550="Exc","Excelsa",I550="Ara","Arabica",I550="Lib","Liberica")</f>
        <v>Excelsa</v>
      </c>
      <c r="O550" t="str" cm="1">
        <f t="array" ref="O550">_xlfn.IFS(J550="M","Medium",J550="L","Light",J550="D","Dark")</f>
        <v>Light</v>
      </c>
      <c r="P550" t="str">
        <f>_xlfn.XLOOKUP(Orders[[#This Row],[Customer ID]],customers!$A$1:$A$1001,customers!$I$1:$I$1001,,0)</f>
        <v>Yes</v>
      </c>
    </row>
    <row r="551" spans="1:16" x14ac:dyDescent="0.25">
      <c r="A551" s="2" t="s">
        <v>3593</v>
      </c>
      <c r="B551" s="3">
        <v>44232</v>
      </c>
      <c r="C551" s="2" t="s">
        <v>3594</v>
      </c>
      <c r="D551" t="s">
        <v>6184</v>
      </c>
      <c r="E551" s="2">
        <v>4</v>
      </c>
      <c r="F551" s="2" t="str">
        <f>_xlfn.XLOOKUP(orders!C551,customers!$A$2:$A$1001,customers!$B$2:$B$1001)</f>
        <v>Wilek Lightollers</v>
      </c>
      <c r="G551" s="2" t="str">
        <f>IF(_xlfn.XLOOKUP(C551,customers!$A$2:$A$1001,customers!$C$2:$C$1001,,)=0,"",_xlfn.XLOOKUP(C551,customers!$A$2:$A$1001,customers!$C$2:$C$1001,,))</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cm="1">
        <f t="array" ref="N551">_xlfn.IFS(I551="Rob","Robusta",I551="Exc","Excelsa",I551="Ara","Arabica",I551="Lib","Liberica")</f>
        <v>Excelsa</v>
      </c>
      <c r="O551" t="str" cm="1">
        <f t="array" ref="O551">_xlfn.IFS(J551="M","Medium",J551="L","Light",J551="D","Dark")</f>
        <v>Light</v>
      </c>
      <c r="P551" t="str">
        <f>_xlfn.XLOOKUP(Orders[[#This Row],[Customer ID]],customers!$A$1:$A$1001,customers!$I$1:$I$1001,,0)</f>
        <v>Yes</v>
      </c>
    </row>
    <row r="552" spans="1:16" x14ac:dyDescent="0.25">
      <c r="A552" s="2" t="s">
        <v>3599</v>
      </c>
      <c r="B552" s="3">
        <v>44176</v>
      </c>
      <c r="C552" s="2" t="s">
        <v>3600</v>
      </c>
      <c r="D552" t="s">
        <v>6150</v>
      </c>
      <c r="E552" s="2">
        <v>6</v>
      </c>
      <c r="F552" s="2" t="str">
        <f>_xlfn.XLOOKUP(orders!C552,customers!$A$2:$A$1001,customers!$B$2:$B$1001)</f>
        <v>Nick Brakespear</v>
      </c>
      <c r="G552" s="2" t="str">
        <f>IF(_xlfn.XLOOKUP(C552,customers!$A$2:$A$1001,customers!$C$2:$C$1001,,)=0,"",_xlfn.XLOOKUP(C552,customers!$A$2:$A$1001,customers!$C$2:$C$1001,,))</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cm="1">
        <f t="array" ref="N552">_xlfn.IFS(I552="Rob","Robusta",I552="Exc","Excelsa",I552="Ara","Arabica",I552="Lib","Liberica")</f>
        <v>Liberica</v>
      </c>
      <c r="O552" t="str" cm="1">
        <f t="array" ref="O552">_xlfn.IFS(J552="M","Medium",J552="L","Light",J552="D","Dark")</f>
        <v>Dark</v>
      </c>
      <c r="P552" t="str">
        <f>_xlfn.XLOOKUP(Orders[[#This Row],[Customer ID]],customers!$A$1:$A$1001,customers!$I$1:$I$1001,,0)</f>
        <v>Yes</v>
      </c>
    </row>
    <row r="553" spans="1:16" x14ac:dyDescent="0.25">
      <c r="A553" s="2" t="s">
        <v>3605</v>
      </c>
      <c r="B553" s="3">
        <v>44694</v>
      </c>
      <c r="C553" s="2" t="s">
        <v>3606</v>
      </c>
      <c r="D553" t="s">
        <v>6153</v>
      </c>
      <c r="E553" s="2">
        <v>2</v>
      </c>
      <c r="F553" s="2" t="str">
        <f>_xlfn.XLOOKUP(orders!C553,customers!$A$2:$A$1001,customers!$B$2:$B$1001)</f>
        <v>Malynda Glawsop</v>
      </c>
      <c r="G553" s="2" t="str">
        <f>IF(_xlfn.XLOOKUP(C553,customers!$A$2:$A$1001,customers!$C$2:$C$1001,,)=0,"",_xlfn.XLOOKUP(C553,customers!$A$2:$A$1001,customers!$C$2:$C$1001,,))</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cm="1">
        <f t="array" ref="N553">_xlfn.IFS(I553="Rob","Robusta",I553="Exc","Excelsa",I553="Ara","Arabica",I553="Lib","Liberica")</f>
        <v>Excelsa</v>
      </c>
      <c r="O553" t="str" cm="1">
        <f t="array" ref="O553">_xlfn.IFS(J553="M","Medium",J553="L","Light",J553="D","Dark")</f>
        <v>Dark</v>
      </c>
      <c r="P553" t="str">
        <f>_xlfn.XLOOKUP(Orders[[#This Row],[Customer ID]],customers!$A$1:$A$1001,customers!$I$1:$I$1001,,0)</f>
        <v>No</v>
      </c>
    </row>
    <row r="554" spans="1:16" x14ac:dyDescent="0.25">
      <c r="A554" s="2" t="s">
        <v>3611</v>
      </c>
      <c r="B554" s="3">
        <v>43761</v>
      </c>
      <c r="C554" s="2" t="s">
        <v>3612</v>
      </c>
      <c r="D554" t="s">
        <v>6184</v>
      </c>
      <c r="E554" s="2">
        <v>4</v>
      </c>
      <c r="F554" s="2" t="str">
        <f>_xlfn.XLOOKUP(orders!C554,customers!$A$2:$A$1001,customers!$B$2:$B$1001)</f>
        <v>Granville Alberts</v>
      </c>
      <c r="G554" s="2" t="str">
        <f>IF(_xlfn.XLOOKUP(C554,customers!$A$2:$A$1001,customers!$C$2:$C$1001,,)=0,"",_xlfn.XLOOKUP(C554,customers!$A$2:$A$1001,customers!$C$2:$C$1001,,))</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cm="1">
        <f t="array" ref="N554">_xlfn.IFS(I554="Rob","Robusta",I554="Exc","Excelsa",I554="Ara","Arabica",I554="Lib","Liberica")</f>
        <v>Excelsa</v>
      </c>
      <c r="O554" t="str" cm="1">
        <f t="array" ref="O554">_xlfn.IFS(J554="M","Medium",J554="L","Light",J554="D","Dark")</f>
        <v>Light</v>
      </c>
      <c r="P554" t="str">
        <f>_xlfn.XLOOKUP(Orders[[#This Row],[Customer ID]],customers!$A$1:$A$1001,customers!$I$1:$I$1001,,0)</f>
        <v>Yes</v>
      </c>
    </row>
    <row r="555" spans="1:16" x14ac:dyDescent="0.25">
      <c r="A555" s="2" t="s">
        <v>3617</v>
      </c>
      <c r="B555" s="3">
        <v>44085</v>
      </c>
      <c r="C555" s="2" t="s">
        <v>3618</v>
      </c>
      <c r="D555" t="s">
        <v>6141</v>
      </c>
      <c r="E555" s="2">
        <v>5</v>
      </c>
      <c r="F555" s="2" t="str">
        <f>_xlfn.XLOOKUP(orders!C555,customers!$A$2:$A$1001,customers!$B$2:$B$1001)</f>
        <v>Vasily Polglase</v>
      </c>
      <c r="G555" s="2" t="str">
        <f>IF(_xlfn.XLOOKUP(C555,customers!$A$2:$A$1001,customers!$C$2:$C$1001,,)=0,"",_xlfn.XLOOKUP(C555,customers!$A$2:$A$1001,customers!$C$2:$C$1001,,))</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cm="1">
        <f t="array" ref="N555">_xlfn.IFS(I555="Rob","Robusta",I555="Exc","Excelsa",I555="Ara","Arabica",I555="Lib","Liberica")</f>
        <v>Excelsa</v>
      </c>
      <c r="O555" t="str" cm="1">
        <f t="array" ref="O555">_xlfn.IFS(J555="M","Medium",J555="L","Light",J555="D","Dark")</f>
        <v>Medium</v>
      </c>
      <c r="P555" t="str">
        <f>_xlfn.XLOOKUP(Orders[[#This Row],[Customer ID]],customers!$A$1:$A$1001,customers!$I$1:$I$1001,,0)</f>
        <v>No</v>
      </c>
    </row>
    <row r="556" spans="1:16" x14ac:dyDescent="0.25">
      <c r="A556" s="2" t="s">
        <v>3622</v>
      </c>
      <c r="B556" s="3">
        <v>43737</v>
      </c>
      <c r="C556" s="2" t="s">
        <v>3623</v>
      </c>
      <c r="D556" t="s">
        <v>6142</v>
      </c>
      <c r="E556" s="2">
        <v>2</v>
      </c>
      <c r="F556" s="2" t="str">
        <f>_xlfn.XLOOKUP(orders!C556,customers!$A$2:$A$1001,customers!$B$2:$B$1001)</f>
        <v>Madelaine Sharples</v>
      </c>
      <c r="G556" s="2" t="str">
        <f>IF(_xlfn.XLOOKUP(C556,customers!$A$2:$A$1001,customers!$C$2:$C$1001,,)=0,"",_xlfn.XLOOKUP(C556,customers!$A$2:$A$1001,customers!$C$2:$C$1001,,))</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cm="1">
        <f t="array" ref="N556">_xlfn.IFS(I556="Rob","Robusta",I556="Exc","Excelsa",I556="Ara","Arabica",I556="Lib","Liberica")</f>
        <v>Robusta</v>
      </c>
      <c r="O556" t="str" cm="1">
        <f t="array" ref="O556">_xlfn.IFS(J556="M","Medium",J556="L","Light",J556="D","Dark")</f>
        <v>Light</v>
      </c>
      <c r="P556" t="str">
        <f>_xlfn.XLOOKUP(Orders[[#This Row],[Customer ID]],customers!$A$1:$A$1001,customers!$I$1:$I$1001,,0)</f>
        <v>Yes</v>
      </c>
    </row>
    <row r="557" spans="1:16" x14ac:dyDescent="0.25">
      <c r="A557" s="2" t="s">
        <v>3627</v>
      </c>
      <c r="B557" s="3">
        <v>44258</v>
      </c>
      <c r="C557" s="2" t="s">
        <v>3628</v>
      </c>
      <c r="D557" t="s">
        <v>6141</v>
      </c>
      <c r="E557" s="2">
        <v>6</v>
      </c>
      <c r="F557" s="2" t="str">
        <f>_xlfn.XLOOKUP(orders!C557,customers!$A$2:$A$1001,customers!$B$2:$B$1001)</f>
        <v>Sigfrid Busch</v>
      </c>
      <c r="G557" s="2" t="str">
        <f>IF(_xlfn.XLOOKUP(C557,customers!$A$2:$A$1001,customers!$C$2:$C$1001,,)=0,"",_xlfn.XLOOKUP(C557,customers!$A$2:$A$1001,customers!$C$2:$C$1001,,))</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cm="1">
        <f t="array" ref="N557">_xlfn.IFS(I557="Rob","Robusta",I557="Exc","Excelsa",I557="Ara","Arabica",I557="Lib","Liberica")</f>
        <v>Excelsa</v>
      </c>
      <c r="O557" t="str" cm="1">
        <f t="array" ref="O557">_xlfn.IFS(J557="M","Medium",J557="L","Light",J557="D","Dark")</f>
        <v>Medium</v>
      </c>
      <c r="P557" t="str">
        <f>_xlfn.XLOOKUP(Orders[[#This Row],[Customer ID]],customers!$A$1:$A$1001,customers!$I$1:$I$1001,,0)</f>
        <v>No</v>
      </c>
    </row>
    <row r="558" spans="1:16" x14ac:dyDescent="0.25">
      <c r="A558" s="2" t="s">
        <v>3633</v>
      </c>
      <c r="B558" s="3">
        <v>44523</v>
      </c>
      <c r="C558" s="2" t="s">
        <v>3634</v>
      </c>
      <c r="D558" t="s">
        <v>6159</v>
      </c>
      <c r="E558" s="2">
        <v>2</v>
      </c>
      <c r="F558" s="2" t="str">
        <f>_xlfn.XLOOKUP(orders!C558,customers!$A$2:$A$1001,customers!$B$2:$B$1001)</f>
        <v>Cissiee Raisbeck</v>
      </c>
      <c r="G558" s="2" t="str">
        <f>IF(_xlfn.XLOOKUP(C558,customers!$A$2:$A$1001,customers!$C$2:$C$1001,,)=0,"",_xlfn.XLOOKUP(C558,customers!$A$2:$A$1001,customers!$C$2:$C$1001,,))</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cm="1">
        <f t="array" ref="N558">_xlfn.IFS(I558="Rob","Robusta",I558="Exc","Excelsa",I558="Ara","Arabica",I558="Lib","Liberica")</f>
        <v>Liberica</v>
      </c>
      <c r="O558" t="str" cm="1">
        <f t="array" ref="O558">_xlfn.IFS(J558="M","Medium",J558="L","Light",J558="D","Dark")</f>
        <v>Medium</v>
      </c>
      <c r="P558" t="str">
        <f>_xlfn.XLOOKUP(Orders[[#This Row],[Customer ID]],customers!$A$1:$A$1001,customers!$I$1:$I$1001,,0)</f>
        <v>Yes</v>
      </c>
    </row>
    <row r="559" spans="1:16" x14ac:dyDescent="0.25">
      <c r="A559" s="2" t="s">
        <v>3638</v>
      </c>
      <c r="B559" s="3">
        <v>44506</v>
      </c>
      <c r="C559" s="2" t="s">
        <v>3368</v>
      </c>
      <c r="D559" t="s">
        <v>6171</v>
      </c>
      <c r="E559" s="2">
        <v>4</v>
      </c>
      <c r="F559" s="2" t="str">
        <f>_xlfn.XLOOKUP(orders!C559,customers!$A$2:$A$1001,customers!$B$2:$B$1001)</f>
        <v>Marja Urion</v>
      </c>
      <c r="G559" s="2" t="str">
        <f>IF(_xlfn.XLOOKUP(C559,customers!$A$2:$A$1001,customers!$C$2:$C$1001,,)=0,"",_xlfn.XLOOKUP(C559,customers!$A$2:$A$1001,customers!$C$2:$C$1001,,))</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cm="1">
        <f t="array" ref="N559">_xlfn.IFS(I559="Rob","Robusta",I559="Exc","Excelsa",I559="Ara","Arabica",I559="Lib","Liberica")</f>
        <v>Excelsa</v>
      </c>
      <c r="O559" t="str" cm="1">
        <f t="array" ref="O559">_xlfn.IFS(J559="M","Medium",J559="L","Light",J559="D","Dark")</f>
        <v>Light</v>
      </c>
      <c r="P559" t="str">
        <f>_xlfn.XLOOKUP(Orders[[#This Row],[Customer ID]],customers!$A$1:$A$1001,customers!$I$1:$I$1001,,0)</f>
        <v>Yes</v>
      </c>
    </row>
    <row r="560" spans="1:16" x14ac:dyDescent="0.25">
      <c r="A560" s="2" t="s">
        <v>3643</v>
      </c>
      <c r="B560" s="3">
        <v>44225</v>
      </c>
      <c r="C560" s="2" t="s">
        <v>3644</v>
      </c>
      <c r="D560" t="s">
        <v>6150</v>
      </c>
      <c r="E560" s="2">
        <v>4</v>
      </c>
      <c r="F560" s="2" t="str">
        <f>_xlfn.XLOOKUP(orders!C560,customers!$A$2:$A$1001,customers!$B$2:$B$1001)</f>
        <v>Kenton Wetherick</v>
      </c>
      <c r="G560" s="2" t="str">
        <f>IF(_xlfn.XLOOKUP(C560,customers!$A$2:$A$1001,customers!$C$2:$C$1001,,)=0,"",_xlfn.XLOOKUP(C560,customers!$A$2:$A$1001,customers!$C$2:$C$1001,,))</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cm="1">
        <f t="array" ref="N560">_xlfn.IFS(I560="Rob","Robusta",I560="Exc","Excelsa",I560="Ara","Arabica",I560="Lib","Liberica")</f>
        <v>Liberica</v>
      </c>
      <c r="O560" t="str" cm="1">
        <f t="array" ref="O560">_xlfn.IFS(J560="M","Medium",J560="L","Light",J560="D","Dark")</f>
        <v>Dark</v>
      </c>
      <c r="P560" t="str">
        <f>_xlfn.XLOOKUP(Orders[[#This Row],[Customer ID]],customers!$A$1:$A$1001,customers!$I$1:$I$1001,,0)</f>
        <v>Yes</v>
      </c>
    </row>
    <row r="561" spans="1:16" x14ac:dyDescent="0.25">
      <c r="A561" s="2" t="s">
        <v>3648</v>
      </c>
      <c r="B561" s="3">
        <v>44667</v>
      </c>
      <c r="C561" s="2" t="s">
        <v>3649</v>
      </c>
      <c r="D561" t="s">
        <v>6140</v>
      </c>
      <c r="E561" s="2">
        <v>3</v>
      </c>
      <c r="F561" s="2" t="str">
        <f>_xlfn.XLOOKUP(orders!C561,customers!$A$2:$A$1001,customers!$B$2:$B$1001)</f>
        <v>Reamonn Aynold</v>
      </c>
      <c r="G561" s="2" t="str">
        <f>IF(_xlfn.XLOOKUP(C561,customers!$A$2:$A$1001,customers!$C$2:$C$1001,,)=0,"",_xlfn.XLOOKUP(C561,customers!$A$2:$A$1001,customers!$C$2:$C$1001,,))</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cm="1">
        <f t="array" ref="N561">_xlfn.IFS(I561="Rob","Robusta",I561="Exc","Excelsa",I561="Ara","Arabica",I561="Lib","Liberica")</f>
        <v>Arabica</v>
      </c>
      <c r="O561" t="str" cm="1">
        <f t="array" ref="O561">_xlfn.IFS(J561="M","Medium",J561="L","Light",J561="D","Dark")</f>
        <v>Light</v>
      </c>
      <c r="P561" t="str">
        <f>_xlfn.XLOOKUP(Orders[[#This Row],[Customer ID]],customers!$A$1:$A$1001,customers!$I$1:$I$1001,,0)</f>
        <v>Yes</v>
      </c>
    </row>
    <row r="562" spans="1:16" x14ac:dyDescent="0.25">
      <c r="A562" s="2" t="s">
        <v>3654</v>
      </c>
      <c r="B562" s="3">
        <v>44401</v>
      </c>
      <c r="C562" s="2" t="s">
        <v>3655</v>
      </c>
      <c r="D562" t="s">
        <v>6166</v>
      </c>
      <c r="E562" s="2">
        <v>6</v>
      </c>
      <c r="F562" s="2" t="str">
        <f>_xlfn.XLOOKUP(orders!C562,customers!$A$2:$A$1001,customers!$B$2:$B$1001)</f>
        <v>Hatty Dovydenas</v>
      </c>
      <c r="G562" s="2" t="str">
        <f>IF(_xlfn.XLOOKUP(C562,customers!$A$2:$A$1001,customers!$C$2:$C$1001,,)=0,"",_xlfn.XLOOKUP(C562,customers!$A$2:$A$1001,customers!$C$2:$C$1001,,))</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cm="1">
        <f t="array" ref="N562">_xlfn.IFS(I562="Rob","Robusta",I562="Exc","Excelsa",I562="Ara","Arabica",I562="Lib","Liberica")</f>
        <v>Excelsa</v>
      </c>
      <c r="O562" t="str" cm="1">
        <f t="array" ref="O562">_xlfn.IFS(J562="M","Medium",J562="L","Light",J562="D","Dark")</f>
        <v>Medium</v>
      </c>
      <c r="P562" t="str">
        <f>_xlfn.XLOOKUP(Orders[[#This Row],[Customer ID]],customers!$A$1:$A$1001,customers!$I$1:$I$1001,,0)</f>
        <v>Yes</v>
      </c>
    </row>
    <row r="563" spans="1:16" x14ac:dyDescent="0.25">
      <c r="A563" s="2" t="s">
        <v>3659</v>
      </c>
      <c r="B563" s="3">
        <v>43688</v>
      </c>
      <c r="C563" s="2" t="s">
        <v>3660</v>
      </c>
      <c r="D563" t="s">
        <v>6154</v>
      </c>
      <c r="E563" s="2">
        <v>6</v>
      </c>
      <c r="F563" s="2" t="str">
        <f>_xlfn.XLOOKUP(orders!C563,customers!$A$2:$A$1001,customers!$B$2:$B$1001)</f>
        <v>Nathaniel Bloxland</v>
      </c>
      <c r="G563" s="2" t="str">
        <f>IF(_xlfn.XLOOKUP(C563,customers!$A$2:$A$1001,customers!$C$2:$C$1001,,)=0,"",_xlfn.XLOOKUP(C563,customers!$A$2:$A$1001,customers!$C$2:$C$1001,,))</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cm="1">
        <f t="array" ref="N563">_xlfn.IFS(I563="Rob","Robusta",I563="Exc","Excelsa",I563="Ara","Arabica",I563="Lib","Liberica")</f>
        <v>Arabica</v>
      </c>
      <c r="O563" t="str" cm="1">
        <f t="array" ref="O563">_xlfn.IFS(J563="M","Medium",J563="L","Light",J563="D","Dark")</f>
        <v>Dark</v>
      </c>
      <c r="P563" t="str">
        <f>_xlfn.XLOOKUP(Orders[[#This Row],[Customer ID]],customers!$A$1:$A$1001,customers!$I$1:$I$1001,,0)</f>
        <v>Yes</v>
      </c>
    </row>
    <row r="564" spans="1:16" x14ac:dyDescent="0.25">
      <c r="A564" s="2" t="s">
        <v>3665</v>
      </c>
      <c r="B564" s="3">
        <v>43669</v>
      </c>
      <c r="C564" s="2" t="s">
        <v>3666</v>
      </c>
      <c r="D564" t="s">
        <v>6145</v>
      </c>
      <c r="E564" s="2">
        <v>6</v>
      </c>
      <c r="F564" s="2" t="str">
        <f>_xlfn.XLOOKUP(orders!C564,customers!$A$2:$A$1001,customers!$B$2:$B$1001)</f>
        <v>Brendan Grece</v>
      </c>
      <c r="G564" s="2" t="str">
        <f>IF(_xlfn.XLOOKUP(C564,customers!$A$2:$A$1001,customers!$C$2:$C$1001,,)=0,"",_xlfn.XLOOKUP(C564,customers!$A$2:$A$1001,customers!$C$2:$C$1001,,))</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cm="1">
        <f t="array" ref="N564">_xlfn.IFS(I564="Rob","Robusta",I564="Exc","Excelsa",I564="Ara","Arabica",I564="Lib","Liberica")</f>
        <v>Liberica</v>
      </c>
      <c r="O564" t="str" cm="1">
        <f t="array" ref="O564">_xlfn.IFS(J564="M","Medium",J564="L","Light",J564="D","Dark")</f>
        <v>Light</v>
      </c>
      <c r="P564" t="str">
        <f>_xlfn.XLOOKUP(Orders[[#This Row],[Customer ID]],customers!$A$1:$A$1001,customers!$I$1:$I$1001,,0)</f>
        <v>No</v>
      </c>
    </row>
    <row r="565" spans="1:16" x14ac:dyDescent="0.25">
      <c r="A565" s="2" t="s">
        <v>3671</v>
      </c>
      <c r="B565" s="3">
        <v>43991</v>
      </c>
      <c r="C565" s="2" t="s">
        <v>3752</v>
      </c>
      <c r="D565" t="s">
        <v>6141</v>
      </c>
      <c r="E565" s="2">
        <v>6</v>
      </c>
      <c r="F565" s="2" t="str">
        <f>_xlfn.XLOOKUP(orders!C565,customers!$A$2:$A$1001,customers!$B$2:$B$1001)</f>
        <v>Don Flintiff</v>
      </c>
      <c r="G565" s="2" t="str">
        <f>IF(_xlfn.XLOOKUP(C565,customers!$A$2:$A$1001,customers!$C$2:$C$1001,,)=0,"",_xlfn.XLOOKUP(C565,customers!$A$2:$A$1001,customers!$C$2:$C$1001,,))</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cm="1">
        <f t="array" ref="N565">_xlfn.IFS(I565="Rob","Robusta",I565="Exc","Excelsa",I565="Ara","Arabica",I565="Lib","Liberica")</f>
        <v>Excelsa</v>
      </c>
      <c r="O565" t="str" cm="1">
        <f t="array" ref="O565">_xlfn.IFS(J565="M","Medium",J565="L","Light",J565="D","Dark")</f>
        <v>Medium</v>
      </c>
      <c r="P565" t="str">
        <f>_xlfn.XLOOKUP(Orders[[#This Row],[Customer ID]],customers!$A$1:$A$1001,customers!$I$1:$I$1001,,0)</f>
        <v>No</v>
      </c>
    </row>
    <row r="566" spans="1:16" x14ac:dyDescent="0.25">
      <c r="A566" s="2" t="s">
        <v>3677</v>
      </c>
      <c r="B566" s="3">
        <v>43883</v>
      </c>
      <c r="C566" s="2" t="s">
        <v>3678</v>
      </c>
      <c r="D566" t="s">
        <v>6173</v>
      </c>
      <c r="E566" s="2">
        <v>2</v>
      </c>
      <c r="F566" s="2" t="str">
        <f>_xlfn.XLOOKUP(orders!C566,customers!$A$2:$A$1001,customers!$B$2:$B$1001)</f>
        <v>Abbe Thys</v>
      </c>
      <c r="G566" s="2" t="str">
        <f>IF(_xlfn.XLOOKUP(C566,customers!$A$2:$A$1001,customers!$C$2:$C$1001,,)=0,"",_xlfn.XLOOKUP(C566,customers!$A$2:$A$1001,customers!$C$2:$C$1001,,))</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cm="1">
        <f t="array" ref="N566">_xlfn.IFS(I566="Rob","Robusta",I566="Exc","Excelsa",I566="Ara","Arabica",I566="Lib","Liberica")</f>
        <v>Robusta</v>
      </c>
      <c r="O566" t="str" cm="1">
        <f t="array" ref="O566">_xlfn.IFS(J566="M","Medium",J566="L","Light",J566="D","Dark")</f>
        <v>Light</v>
      </c>
      <c r="P566" t="str">
        <f>_xlfn.XLOOKUP(Orders[[#This Row],[Customer ID]],customers!$A$1:$A$1001,customers!$I$1:$I$1001,,0)</f>
        <v>No</v>
      </c>
    </row>
    <row r="567" spans="1:16" x14ac:dyDescent="0.25">
      <c r="A567" s="2" t="s">
        <v>3683</v>
      </c>
      <c r="B567" s="3">
        <v>44031</v>
      </c>
      <c r="C567" s="2" t="s">
        <v>3684</v>
      </c>
      <c r="D567" t="s">
        <v>6149</v>
      </c>
      <c r="E567" s="2">
        <v>4</v>
      </c>
      <c r="F567" s="2" t="str">
        <f>_xlfn.XLOOKUP(orders!C567,customers!$A$2:$A$1001,customers!$B$2:$B$1001)</f>
        <v>Jackquelin Chugg</v>
      </c>
      <c r="G567" s="2" t="str">
        <f>IF(_xlfn.XLOOKUP(C567,customers!$A$2:$A$1001,customers!$C$2:$C$1001,,)=0,"",_xlfn.XLOOKUP(C567,customers!$A$2:$A$1001,customers!$C$2:$C$1001,,))</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cm="1">
        <f t="array" ref="N567">_xlfn.IFS(I567="Rob","Robusta",I567="Exc","Excelsa",I567="Ara","Arabica",I567="Lib","Liberica")</f>
        <v>Robusta</v>
      </c>
      <c r="O567" t="str" cm="1">
        <f t="array" ref="O567">_xlfn.IFS(J567="M","Medium",J567="L","Light",J567="D","Dark")</f>
        <v>Dark</v>
      </c>
      <c r="P567" t="str">
        <f>_xlfn.XLOOKUP(Orders[[#This Row],[Customer ID]],customers!$A$1:$A$1001,customers!$I$1:$I$1001,,0)</f>
        <v>No</v>
      </c>
    </row>
    <row r="568" spans="1:16" x14ac:dyDescent="0.25">
      <c r="A568" s="2" t="s">
        <v>3689</v>
      </c>
      <c r="B568" s="3">
        <v>44459</v>
      </c>
      <c r="C568" s="2" t="s">
        <v>3690</v>
      </c>
      <c r="D568" t="s">
        <v>6152</v>
      </c>
      <c r="E568" s="2">
        <v>6</v>
      </c>
      <c r="F568" s="2" t="str">
        <f>_xlfn.XLOOKUP(orders!C568,customers!$A$2:$A$1001,customers!$B$2:$B$1001)</f>
        <v>Audra Kelston</v>
      </c>
      <c r="G568" s="2" t="str">
        <f>IF(_xlfn.XLOOKUP(C568,customers!$A$2:$A$1001,customers!$C$2:$C$1001,,)=0,"",_xlfn.XLOOKUP(C568,customers!$A$2:$A$1001,customers!$C$2:$C$1001,,))</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cm="1">
        <f t="array" ref="N568">_xlfn.IFS(I568="Rob","Robusta",I568="Exc","Excelsa",I568="Ara","Arabica",I568="Lib","Liberica")</f>
        <v>Arabica</v>
      </c>
      <c r="O568" t="str" cm="1">
        <f t="array" ref="O568">_xlfn.IFS(J568="M","Medium",J568="L","Light",J568="D","Dark")</f>
        <v>Medium</v>
      </c>
      <c r="P568" t="str">
        <f>_xlfn.XLOOKUP(Orders[[#This Row],[Customer ID]],customers!$A$1:$A$1001,customers!$I$1:$I$1001,,0)</f>
        <v>Yes</v>
      </c>
    </row>
    <row r="569" spans="1:16" x14ac:dyDescent="0.25">
      <c r="A569" s="2" t="s">
        <v>3695</v>
      </c>
      <c r="B569" s="3">
        <v>44318</v>
      </c>
      <c r="C569" s="2" t="s">
        <v>3696</v>
      </c>
      <c r="D569" t="s">
        <v>6142</v>
      </c>
      <c r="E569" s="2">
        <v>6</v>
      </c>
      <c r="F569" s="2" t="str">
        <f>_xlfn.XLOOKUP(orders!C569,customers!$A$2:$A$1001,customers!$B$2:$B$1001)</f>
        <v>Elvina Angel</v>
      </c>
      <c r="G569" s="2" t="str">
        <f>IF(_xlfn.XLOOKUP(C569,customers!$A$2:$A$1001,customers!$C$2:$C$1001,,)=0,"",_xlfn.XLOOKUP(C569,customers!$A$2:$A$1001,customers!$C$2:$C$1001,,))</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cm="1">
        <f t="array" ref="N569">_xlfn.IFS(I569="Rob","Robusta",I569="Exc","Excelsa",I569="Ara","Arabica",I569="Lib","Liberica")</f>
        <v>Robusta</v>
      </c>
      <c r="O569" t="str" cm="1">
        <f t="array" ref="O569">_xlfn.IFS(J569="M","Medium",J569="L","Light",J569="D","Dark")</f>
        <v>Light</v>
      </c>
      <c r="P569" t="str">
        <f>_xlfn.XLOOKUP(Orders[[#This Row],[Customer ID]],customers!$A$1:$A$1001,customers!$I$1:$I$1001,,0)</f>
        <v>No</v>
      </c>
    </row>
    <row r="570" spans="1:16" x14ac:dyDescent="0.25">
      <c r="A570" s="2" t="s">
        <v>3700</v>
      </c>
      <c r="B570" s="3">
        <v>44526</v>
      </c>
      <c r="C570" s="2" t="s">
        <v>3701</v>
      </c>
      <c r="D570" t="s">
        <v>6145</v>
      </c>
      <c r="E570" s="2">
        <v>4</v>
      </c>
      <c r="F570" s="2" t="str">
        <f>_xlfn.XLOOKUP(orders!C570,customers!$A$2:$A$1001,customers!$B$2:$B$1001)</f>
        <v>Claiborne Mottram</v>
      </c>
      <c r="G570" s="2" t="str">
        <f>IF(_xlfn.XLOOKUP(C570,customers!$A$2:$A$1001,customers!$C$2:$C$1001,,)=0,"",_xlfn.XLOOKUP(C570,customers!$A$2:$A$1001,customers!$C$2:$C$1001,,))</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cm="1">
        <f t="array" ref="N570">_xlfn.IFS(I570="Rob","Robusta",I570="Exc","Excelsa",I570="Ara","Arabica",I570="Lib","Liberica")</f>
        <v>Liberica</v>
      </c>
      <c r="O570" t="str" cm="1">
        <f t="array" ref="O570">_xlfn.IFS(J570="M","Medium",J570="L","Light",J570="D","Dark")</f>
        <v>Light</v>
      </c>
      <c r="P570" t="str">
        <f>_xlfn.XLOOKUP(Orders[[#This Row],[Customer ID]],customers!$A$1:$A$1001,customers!$I$1:$I$1001,,0)</f>
        <v>Yes</v>
      </c>
    </row>
    <row r="571" spans="1:16" x14ac:dyDescent="0.25">
      <c r="A571" s="2" t="s">
        <v>3706</v>
      </c>
      <c r="B571" s="3">
        <v>43879</v>
      </c>
      <c r="C571" s="2" t="s">
        <v>3752</v>
      </c>
      <c r="D571" t="s">
        <v>6168</v>
      </c>
      <c r="E571" s="2">
        <v>6</v>
      </c>
      <c r="F571" s="2" t="str">
        <f>_xlfn.XLOOKUP(orders!C571,customers!$A$2:$A$1001,customers!$B$2:$B$1001)</f>
        <v>Don Flintiff</v>
      </c>
      <c r="G571" s="2" t="str">
        <f>IF(_xlfn.XLOOKUP(C571,customers!$A$2:$A$1001,customers!$C$2:$C$1001,,)=0,"",_xlfn.XLOOKUP(C571,customers!$A$2:$A$1001,customers!$C$2:$C$1001,,))</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cm="1">
        <f t="array" ref="N571">_xlfn.IFS(I571="Rob","Robusta",I571="Exc","Excelsa",I571="Ara","Arabica",I571="Lib","Liberica")</f>
        <v>Arabica</v>
      </c>
      <c r="O571" t="str" cm="1">
        <f t="array" ref="O571">_xlfn.IFS(J571="M","Medium",J571="L","Light",J571="D","Dark")</f>
        <v>Dark</v>
      </c>
      <c r="P571" t="str">
        <f>_xlfn.XLOOKUP(Orders[[#This Row],[Customer ID]],customers!$A$1:$A$1001,customers!$I$1:$I$1001,,0)</f>
        <v>No</v>
      </c>
    </row>
    <row r="572" spans="1:16" x14ac:dyDescent="0.25">
      <c r="A572" s="2" t="s">
        <v>3712</v>
      </c>
      <c r="B572" s="3">
        <v>43928</v>
      </c>
      <c r="C572" s="2" t="s">
        <v>3713</v>
      </c>
      <c r="D572" t="s">
        <v>6157</v>
      </c>
      <c r="E572" s="2">
        <v>4</v>
      </c>
      <c r="F572" s="2" t="str">
        <f>_xlfn.XLOOKUP(orders!C572,customers!$A$2:$A$1001,customers!$B$2:$B$1001)</f>
        <v>Donalt Sangwin</v>
      </c>
      <c r="G572" s="2" t="str">
        <f>IF(_xlfn.XLOOKUP(C572,customers!$A$2:$A$1001,customers!$C$2:$C$1001,,)=0,"",_xlfn.XLOOKUP(C572,customers!$A$2:$A$1001,customers!$C$2:$C$1001,,))</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cm="1">
        <f t="array" ref="N572">_xlfn.IFS(I572="Rob","Robusta",I572="Exc","Excelsa",I572="Ara","Arabica",I572="Lib","Liberica")</f>
        <v>Arabica</v>
      </c>
      <c r="O572" t="str" cm="1">
        <f t="array" ref="O572">_xlfn.IFS(J572="M","Medium",J572="L","Light",J572="D","Dark")</f>
        <v>Medium</v>
      </c>
      <c r="P572" t="str">
        <f>_xlfn.XLOOKUP(Orders[[#This Row],[Customer ID]],customers!$A$1:$A$1001,customers!$I$1:$I$1001,,0)</f>
        <v>No</v>
      </c>
    </row>
    <row r="573" spans="1:16" x14ac:dyDescent="0.25">
      <c r="A573" s="2" t="s">
        <v>3718</v>
      </c>
      <c r="B573" s="3">
        <v>44592</v>
      </c>
      <c r="C573" s="2" t="s">
        <v>3719</v>
      </c>
      <c r="D573" t="s">
        <v>6176</v>
      </c>
      <c r="E573" s="2">
        <v>4</v>
      </c>
      <c r="F573" s="2" t="str">
        <f>_xlfn.XLOOKUP(orders!C573,customers!$A$2:$A$1001,customers!$B$2:$B$1001)</f>
        <v>Elizabet Aizikowitz</v>
      </c>
      <c r="G573" s="2" t="str">
        <f>IF(_xlfn.XLOOKUP(C573,customers!$A$2:$A$1001,customers!$C$2:$C$1001,,)=0,"",_xlfn.XLOOKUP(C573,customers!$A$2:$A$1001,customers!$C$2:$C$1001,,))</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cm="1">
        <f t="array" ref="N573">_xlfn.IFS(I573="Rob","Robusta",I573="Exc","Excelsa",I573="Ara","Arabica",I573="Lib","Liberica")</f>
        <v>Excelsa</v>
      </c>
      <c r="O573" t="str" cm="1">
        <f t="array" ref="O573">_xlfn.IFS(J573="M","Medium",J573="L","Light",J573="D","Dark")</f>
        <v>Light</v>
      </c>
      <c r="P573" t="str">
        <f>_xlfn.XLOOKUP(Orders[[#This Row],[Customer ID]],customers!$A$1:$A$1001,customers!$I$1:$I$1001,,0)</f>
        <v>No</v>
      </c>
    </row>
    <row r="574" spans="1:16" x14ac:dyDescent="0.25">
      <c r="A574" s="2" t="s">
        <v>3724</v>
      </c>
      <c r="B574" s="3">
        <v>43515</v>
      </c>
      <c r="C574" s="2" t="s">
        <v>3725</v>
      </c>
      <c r="D574" t="s">
        <v>6154</v>
      </c>
      <c r="E574" s="2">
        <v>2</v>
      </c>
      <c r="F574" s="2" t="str">
        <f>_xlfn.XLOOKUP(orders!C574,customers!$A$2:$A$1001,customers!$B$2:$B$1001)</f>
        <v>Herbie Peppard</v>
      </c>
      <c r="G574" s="2" t="str">
        <f>IF(_xlfn.XLOOKUP(C574,customers!$A$2:$A$1001,customers!$C$2:$C$1001,,)=0,"",_xlfn.XLOOKUP(C574,customers!$A$2:$A$1001,customers!$C$2:$C$1001,,))</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cm="1">
        <f t="array" ref="N574">_xlfn.IFS(I574="Rob","Robusta",I574="Exc","Excelsa",I574="Ara","Arabica",I574="Lib","Liberica")</f>
        <v>Arabica</v>
      </c>
      <c r="O574" t="str" cm="1">
        <f t="array" ref="O574">_xlfn.IFS(J574="M","Medium",J574="L","Light",J574="D","Dark")</f>
        <v>Dark</v>
      </c>
      <c r="P574" t="str">
        <f>_xlfn.XLOOKUP(Orders[[#This Row],[Customer ID]],customers!$A$1:$A$1001,customers!$I$1:$I$1001,,0)</f>
        <v>Yes</v>
      </c>
    </row>
    <row r="575" spans="1:16" x14ac:dyDescent="0.25">
      <c r="A575" s="2" t="s">
        <v>3728</v>
      </c>
      <c r="B575" s="3">
        <v>43781</v>
      </c>
      <c r="C575" s="2" t="s">
        <v>3729</v>
      </c>
      <c r="D575" t="s">
        <v>6155</v>
      </c>
      <c r="E575" s="2">
        <v>6</v>
      </c>
      <c r="F575" s="2" t="str">
        <f>_xlfn.XLOOKUP(orders!C575,customers!$A$2:$A$1001,customers!$B$2:$B$1001)</f>
        <v>Cornie Venour</v>
      </c>
      <c r="G575" s="2" t="str">
        <f>IF(_xlfn.XLOOKUP(C575,customers!$A$2:$A$1001,customers!$C$2:$C$1001,,)=0,"",_xlfn.XLOOKUP(C575,customers!$A$2:$A$1001,customers!$C$2:$C$1001,,))</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cm="1">
        <f t="array" ref="N575">_xlfn.IFS(I575="Rob","Robusta",I575="Exc","Excelsa",I575="Ara","Arabica",I575="Lib","Liberica")</f>
        <v>Arabica</v>
      </c>
      <c r="O575" t="str" cm="1">
        <f t="array" ref="O575">_xlfn.IFS(J575="M","Medium",J575="L","Light",J575="D","Dark")</f>
        <v>Medium</v>
      </c>
      <c r="P575" t="str">
        <f>_xlfn.XLOOKUP(Orders[[#This Row],[Customer ID]],customers!$A$1:$A$1001,customers!$I$1:$I$1001,,0)</f>
        <v>No</v>
      </c>
    </row>
    <row r="576" spans="1:16" x14ac:dyDescent="0.25">
      <c r="A576" s="2" t="s">
        <v>3734</v>
      </c>
      <c r="B576" s="3">
        <v>44697</v>
      </c>
      <c r="C576" s="2" t="s">
        <v>3735</v>
      </c>
      <c r="D576" t="s">
        <v>6178</v>
      </c>
      <c r="E576" s="2">
        <v>6</v>
      </c>
      <c r="F576" s="2" t="str">
        <f>_xlfn.XLOOKUP(orders!C576,customers!$A$2:$A$1001,customers!$B$2:$B$1001)</f>
        <v>Maggy Harby</v>
      </c>
      <c r="G576" s="2" t="str">
        <f>IF(_xlfn.XLOOKUP(C576,customers!$A$2:$A$1001,customers!$C$2:$C$1001,,)=0,"",_xlfn.XLOOKUP(C576,customers!$A$2:$A$1001,customers!$C$2:$C$1001,,))</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cm="1">
        <f t="array" ref="N576">_xlfn.IFS(I576="Rob","Robusta",I576="Exc","Excelsa",I576="Ara","Arabica",I576="Lib","Liberica")</f>
        <v>Robusta</v>
      </c>
      <c r="O576" t="str" cm="1">
        <f t="array" ref="O576">_xlfn.IFS(J576="M","Medium",J576="L","Light",J576="D","Dark")</f>
        <v>Light</v>
      </c>
      <c r="P576" t="str">
        <f>_xlfn.XLOOKUP(Orders[[#This Row],[Customer ID]],customers!$A$1:$A$1001,customers!$I$1:$I$1001,,0)</f>
        <v>Yes</v>
      </c>
    </row>
    <row r="577" spans="1:16" x14ac:dyDescent="0.25">
      <c r="A577" s="2" t="s">
        <v>3739</v>
      </c>
      <c r="B577" s="3">
        <v>44239</v>
      </c>
      <c r="C577" s="2" t="s">
        <v>3740</v>
      </c>
      <c r="D577" t="s">
        <v>6181</v>
      </c>
      <c r="E577" s="2">
        <v>2</v>
      </c>
      <c r="F577" s="2" t="str">
        <f>_xlfn.XLOOKUP(orders!C577,customers!$A$2:$A$1001,customers!$B$2:$B$1001)</f>
        <v>Reggie Thickpenny</v>
      </c>
      <c r="G577" s="2" t="str">
        <f>IF(_xlfn.XLOOKUP(C577,customers!$A$2:$A$1001,customers!$C$2:$C$1001,,)=0,"",_xlfn.XLOOKUP(C577,customers!$A$2:$A$1001,customers!$C$2:$C$1001,,))</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cm="1">
        <f t="array" ref="N577">_xlfn.IFS(I577="Rob","Robusta",I577="Exc","Excelsa",I577="Ara","Arabica",I577="Lib","Liberica")</f>
        <v>Liberica</v>
      </c>
      <c r="O577" t="str" cm="1">
        <f t="array" ref="O577">_xlfn.IFS(J577="M","Medium",J577="L","Light",J577="D","Dark")</f>
        <v>Medium</v>
      </c>
      <c r="P577" t="str">
        <f>_xlfn.XLOOKUP(Orders[[#This Row],[Customer ID]],customers!$A$1:$A$1001,customers!$I$1:$I$1001,,0)</f>
        <v>No</v>
      </c>
    </row>
    <row r="578" spans="1:16" x14ac:dyDescent="0.25">
      <c r="A578" s="2" t="s">
        <v>3745</v>
      </c>
      <c r="B578" s="3">
        <v>44290</v>
      </c>
      <c r="C578" s="2" t="s">
        <v>3746</v>
      </c>
      <c r="D578" t="s">
        <v>6154</v>
      </c>
      <c r="E578" s="2">
        <v>6</v>
      </c>
      <c r="F578" s="2" t="str">
        <f>_xlfn.XLOOKUP(orders!C578,customers!$A$2:$A$1001,customers!$B$2:$B$1001)</f>
        <v>Phyllys Ormerod</v>
      </c>
      <c r="G578" s="2" t="str">
        <f>IF(_xlfn.XLOOKUP(C578,customers!$A$2:$A$1001,customers!$C$2:$C$1001,,)=0,"",_xlfn.XLOOKUP(C578,customers!$A$2:$A$1001,customers!$C$2:$C$1001,,))</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cm="1">
        <f t="array" ref="N578">_xlfn.IFS(I578="Rob","Robusta",I578="Exc","Excelsa",I578="Ara","Arabica",I578="Lib","Liberica")</f>
        <v>Arabica</v>
      </c>
      <c r="O578" t="str" cm="1">
        <f t="array" ref="O578">_xlfn.IFS(J578="M","Medium",J578="L","Light",J578="D","Dark")</f>
        <v>Dark</v>
      </c>
      <c r="P578" t="str">
        <f>_xlfn.XLOOKUP(Orders[[#This Row],[Customer ID]],customers!$A$1:$A$1001,customers!$I$1:$I$1001,,0)</f>
        <v>No</v>
      </c>
    </row>
    <row r="579" spans="1:16" x14ac:dyDescent="0.25">
      <c r="A579" s="2" t="s">
        <v>3751</v>
      </c>
      <c r="B579" s="3">
        <v>44410</v>
      </c>
      <c r="C579" s="2" t="s">
        <v>3752</v>
      </c>
      <c r="D579" t="s">
        <v>6162</v>
      </c>
      <c r="E579" s="2">
        <v>4</v>
      </c>
      <c r="F579" s="2" t="str">
        <f>_xlfn.XLOOKUP(orders!C579,customers!$A$2:$A$1001,customers!$B$2:$B$1001)</f>
        <v>Don Flintiff</v>
      </c>
      <c r="G579" s="2" t="str">
        <f>IF(_xlfn.XLOOKUP(C579,customers!$A$2:$A$1001,customers!$C$2:$C$1001,,)=0,"",_xlfn.XLOOKUP(C579,customers!$A$2:$A$1001,customers!$C$2:$C$1001,,))</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L579*E579</f>
        <v>58.2</v>
      </c>
      <c r="N579" t="str" cm="1">
        <f t="array" ref="N579">_xlfn.IFS(I579="Rob","Robusta",I579="Exc","Excelsa",I579="Ara","Arabica",I579="Lib","Liberica")</f>
        <v>Liberica</v>
      </c>
      <c r="O579" t="str" cm="1">
        <f t="array" ref="O579">_xlfn.IFS(J579="M","Medium",J579="L","Light",J579="D","Dark")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_xlfn.XLOOKUP(orders!C580,customers!$A$2:$A$1001,customers!$B$2:$B$1001)</f>
        <v>Tymon Zanetti</v>
      </c>
      <c r="G580" s="2" t="str">
        <f>IF(_xlfn.XLOOKUP(C580,customers!$A$2:$A$1001,customers!$C$2:$C$1001,,)=0,"",_xlfn.XLOOKUP(C580,customers!$A$2:$A$1001,customers!$C$2:$C$1001,,))</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cm="1">
        <f t="array" ref="N580">_xlfn.IFS(I580="Rob","Robusta",I580="Exc","Excelsa",I580="Ara","Arabica",I580="Lib","Liberica")</f>
        <v>Excelsa</v>
      </c>
      <c r="O580" t="str" cm="1">
        <f t="array" ref="O580">_xlfn.IFS(J580="M","Medium",J580="L","Light",J580="D","Dark")</f>
        <v>Light</v>
      </c>
      <c r="P580" t="str">
        <f>_xlfn.XLOOKUP(Orders[[#This Row],[Customer ID]],customers!$A$1:$A$1001,customers!$I$1:$I$1001,,0)</f>
        <v>No</v>
      </c>
    </row>
    <row r="581" spans="1:16" x14ac:dyDescent="0.25">
      <c r="A581" s="2" t="s">
        <v>3756</v>
      </c>
      <c r="B581" s="3">
        <v>44720</v>
      </c>
      <c r="C581" s="2" t="s">
        <v>3757</v>
      </c>
      <c r="D581" t="s">
        <v>6157</v>
      </c>
      <c r="E581" s="2">
        <v>5</v>
      </c>
      <c r="F581" s="2" t="str">
        <f>_xlfn.XLOOKUP(orders!C581,customers!$A$2:$A$1001,customers!$B$2:$B$1001)</f>
        <v>Tymon Zanetti</v>
      </c>
      <c r="G581" s="2" t="str">
        <f>IF(_xlfn.XLOOKUP(C581,customers!$A$2:$A$1001,customers!$C$2:$C$1001,,)=0,"",_xlfn.XLOOKUP(C581,customers!$A$2:$A$1001,customers!$C$2:$C$1001,,))</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cm="1">
        <f t="array" ref="N581">_xlfn.IFS(I581="Rob","Robusta",I581="Exc","Excelsa",I581="Ara","Arabica",I581="Lib","Liberica")</f>
        <v>Arabica</v>
      </c>
      <c r="O581" t="str" cm="1">
        <f t="array" ref="O581">_xlfn.IFS(J581="M","Medium",J581="L","Light",J581="D","Dark")</f>
        <v>Medium</v>
      </c>
      <c r="P581" t="str">
        <f>_xlfn.XLOOKUP(Orders[[#This Row],[Customer ID]],customers!$A$1:$A$1001,customers!$I$1:$I$1001,,0)</f>
        <v>No</v>
      </c>
    </row>
    <row r="582" spans="1:16" x14ac:dyDescent="0.25">
      <c r="A582" s="2" t="s">
        <v>3767</v>
      </c>
      <c r="B582" s="3">
        <v>43965</v>
      </c>
      <c r="C582" s="2" t="s">
        <v>3768</v>
      </c>
      <c r="D582" t="s">
        <v>6171</v>
      </c>
      <c r="E582" s="2">
        <v>3</v>
      </c>
      <c r="F582" s="2" t="str">
        <f>_xlfn.XLOOKUP(orders!C582,customers!$A$2:$A$1001,customers!$B$2:$B$1001)</f>
        <v>Reinaldos Kirtley</v>
      </c>
      <c r="G582" s="2" t="str">
        <f>IF(_xlfn.XLOOKUP(C582,customers!$A$2:$A$1001,customers!$C$2:$C$1001,,)=0,"",_xlfn.XLOOKUP(C582,customers!$A$2:$A$1001,customers!$C$2:$C$1001,,))</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cm="1">
        <f t="array" ref="N582">_xlfn.IFS(I582="Rob","Robusta",I582="Exc","Excelsa",I582="Ara","Arabica",I582="Lib","Liberica")</f>
        <v>Excelsa</v>
      </c>
      <c r="O582" t="str" cm="1">
        <f t="array" ref="O582">_xlfn.IFS(J582="M","Medium",J582="L","Light",J582="D","Dark")</f>
        <v>Light</v>
      </c>
      <c r="P582" t="str">
        <f>_xlfn.XLOOKUP(Orders[[#This Row],[Customer ID]],customers!$A$1:$A$1001,customers!$I$1:$I$1001,,0)</f>
        <v>Yes</v>
      </c>
    </row>
    <row r="583" spans="1:16" x14ac:dyDescent="0.25">
      <c r="A583" s="2" t="s">
        <v>3773</v>
      </c>
      <c r="B583" s="3">
        <v>44190</v>
      </c>
      <c r="C583" s="2" t="s">
        <v>3774</v>
      </c>
      <c r="D583" t="s">
        <v>6176</v>
      </c>
      <c r="E583" s="2">
        <v>5</v>
      </c>
      <c r="F583" s="2" t="str">
        <f>_xlfn.XLOOKUP(orders!C583,customers!$A$2:$A$1001,customers!$B$2:$B$1001)</f>
        <v>Carney Clemencet</v>
      </c>
      <c r="G583" s="2" t="str">
        <f>IF(_xlfn.XLOOKUP(C583,customers!$A$2:$A$1001,customers!$C$2:$C$1001,,)=0,"",_xlfn.XLOOKUP(C583,customers!$A$2:$A$1001,customers!$C$2:$C$1001,,))</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cm="1">
        <f t="array" ref="N583">_xlfn.IFS(I583="Rob","Robusta",I583="Exc","Excelsa",I583="Ara","Arabica",I583="Lib","Liberica")</f>
        <v>Excelsa</v>
      </c>
      <c r="O583" t="str" cm="1">
        <f t="array" ref="O583">_xlfn.IFS(J583="M","Medium",J583="L","Light",J583="D","Dark")</f>
        <v>Light</v>
      </c>
      <c r="P583" t="str">
        <f>_xlfn.XLOOKUP(Orders[[#This Row],[Customer ID]],customers!$A$1:$A$1001,customers!$I$1:$I$1001,,0)</f>
        <v>Yes</v>
      </c>
    </row>
    <row r="584" spans="1:16" x14ac:dyDescent="0.25">
      <c r="A584" s="2" t="s">
        <v>3778</v>
      </c>
      <c r="B584" s="3">
        <v>44382</v>
      </c>
      <c r="C584" s="2" t="s">
        <v>3779</v>
      </c>
      <c r="D584" t="s">
        <v>6183</v>
      </c>
      <c r="E584" s="2">
        <v>5</v>
      </c>
      <c r="F584" s="2" t="str">
        <f>_xlfn.XLOOKUP(orders!C584,customers!$A$2:$A$1001,customers!$B$2:$B$1001)</f>
        <v>Russell Donet</v>
      </c>
      <c r="G584" s="2" t="str">
        <f>IF(_xlfn.XLOOKUP(C584,customers!$A$2:$A$1001,customers!$C$2:$C$1001,,)=0,"",_xlfn.XLOOKUP(C584,customers!$A$2:$A$1001,customers!$C$2:$C$1001,,))</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cm="1">
        <f t="array" ref="N584">_xlfn.IFS(I584="Rob","Robusta",I584="Exc","Excelsa",I584="Ara","Arabica",I584="Lib","Liberica")</f>
        <v>Excelsa</v>
      </c>
      <c r="O584" t="str" cm="1">
        <f t="array" ref="O584">_xlfn.IFS(J584="M","Medium",J584="L","Light",J584="D","Dark")</f>
        <v>Dark</v>
      </c>
      <c r="P584" t="str">
        <f>_xlfn.XLOOKUP(Orders[[#This Row],[Customer ID]],customers!$A$1:$A$1001,customers!$I$1:$I$1001,,0)</f>
        <v>No</v>
      </c>
    </row>
    <row r="585" spans="1:16" x14ac:dyDescent="0.25">
      <c r="A585" s="2" t="s">
        <v>3784</v>
      </c>
      <c r="B585" s="3">
        <v>43538</v>
      </c>
      <c r="C585" s="2" t="s">
        <v>3785</v>
      </c>
      <c r="D585" t="s">
        <v>6178</v>
      </c>
      <c r="E585" s="2">
        <v>1</v>
      </c>
      <c r="F585" s="2" t="str">
        <f>_xlfn.XLOOKUP(orders!C585,customers!$A$2:$A$1001,customers!$B$2:$B$1001)</f>
        <v>Sidney Gawen</v>
      </c>
      <c r="G585" s="2" t="str">
        <f>IF(_xlfn.XLOOKUP(C585,customers!$A$2:$A$1001,customers!$C$2:$C$1001,,)=0,"",_xlfn.XLOOKUP(C585,customers!$A$2:$A$1001,customers!$C$2:$C$1001,,))</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cm="1">
        <f t="array" ref="N585">_xlfn.IFS(I585="Rob","Robusta",I585="Exc","Excelsa",I585="Ara","Arabica",I585="Lib","Liberica")</f>
        <v>Robusta</v>
      </c>
      <c r="O585" t="str" cm="1">
        <f t="array" ref="O585">_xlfn.IFS(J585="M","Medium",J585="L","Light",J585="D","Dark")</f>
        <v>Light</v>
      </c>
      <c r="P585" t="str">
        <f>_xlfn.XLOOKUP(Orders[[#This Row],[Customer ID]],customers!$A$1:$A$1001,customers!$I$1:$I$1001,,0)</f>
        <v>Yes</v>
      </c>
    </row>
    <row r="586" spans="1:16" x14ac:dyDescent="0.25">
      <c r="A586" s="2" t="s">
        <v>3790</v>
      </c>
      <c r="B586" s="3">
        <v>44262</v>
      </c>
      <c r="C586" s="2" t="s">
        <v>3791</v>
      </c>
      <c r="D586" t="s">
        <v>6178</v>
      </c>
      <c r="E586" s="2">
        <v>6</v>
      </c>
      <c r="F586" s="2" t="str">
        <f>_xlfn.XLOOKUP(orders!C586,customers!$A$2:$A$1001,customers!$B$2:$B$1001)</f>
        <v>Rickey Readie</v>
      </c>
      <c r="G586" s="2" t="str">
        <f>IF(_xlfn.XLOOKUP(C586,customers!$A$2:$A$1001,customers!$C$2:$C$1001,,)=0,"",_xlfn.XLOOKUP(C586,customers!$A$2:$A$1001,customers!$C$2:$C$1001,,))</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cm="1">
        <f t="array" ref="N586">_xlfn.IFS(I586="Rob","Robusta",I586="Exc","Excelsa",I586="Ara","Arabica",I586="Lib","Liberica")</f>
        <v>Robusta</v>
      </c>
      <c r="O586" t="str" cm="1">
        <f t="array" ref="O586">_xlfn.IFS(J586="M","Medium",J586="L","Light",J586="D","Dark")</f>
        <v>Light</v>
      </c>
      <c r="P586" t="str">
        <f>_xlfn.XLOOKUP(Orders[[#This Row],[Customer ID]],customers!$A$1:$A$1001,customers!$I$1:$I$1001,,0)</f>
        <v>No</v>
      </c>
    </row>
    <row r="587" spans="1:16" x14ac:dyDescent="0.25">
      <c r="A587" s="2" t="s">
        <v>3796</v>
      </c>
      <c r="B587" s="3">
        <v>44505</v>
      </c>
      <c r="C587" s="2" t="s">
        <v>3840</v>
      </c>
      <c r="D587" t="s">
        <v>6139</v>
      </c>
      <c r="E587" s="2">
        <v>2</v>
      </c>
      <c r="F587" s="2" t="str">
        <f>_xlfn.XLOOKUP(orders!C587,customers!$A$2:$A$1001,customers!$B$2:$B$1001)</f>
        <v>Cody Verissimo</v>
      </c>
      <c r="G587" s="2" t="str">
        <f>IF(_xlfn.XLOOKUP(C587,customers!$A$2:$A$1001,customers!$C$2:$C$1001,,)=0,"",_xlfn.XLOOKUP(C587,customers!$A$2:$A$1001,customers!$C$2:$C$1001,,))</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cm="1">
        <f t="array" ref="N587">_xlfn.IFS(I587="Rob","Robusta",I587="Exc","Excelsa",I587="Ara","Arabica",I587="Lib","Liberica")</f>
        <v>Excelsa</v>
      </c>
      <c r="O587" t="str" cm="1">
        <f t="array" ref="O587">_xlfn.IFS(J587="M","Medium",J587="L","Light",J587="D","Dark")</f>
        <v>Medium</v>
      </c>
      <c r="P587" t="str">
        <f>_xlfn.XLOOKUP(Orders[[#This Row],[Customer ID]],customers!$A$1:$A$1001,customers!$I$1:$I$1001,,0)</f>
        <v>Yes</v>
      </c>
    </row>
    <row r="588" spans="1:16" x14ac:dyDescent="0.25">
      <c r="A588" s="2" t="s">
        <v>3802</v>
      </c>
      <c r="B588" s="3">
        <v>43867</v>
      </c>
      <c r="C588" s="2" t="s">
        <v>3803</v>
      </c>
      <c r="D588" t="s">
        <v>6142</v>
      </c>
      <c r="E588" s="2">
        <v>3</v>
      </c>
      <c r="F588" s="2" t="str">
        <f>_xlfn.XLOOKUP(orders!C588,customers!$A$2:$A$1001,customers!$B$2:$B$1001)</f>
        <v>Zilvia Claisse</v>
      </c>
      <c r="G588" s="2" t="str">
        <f>IF(_xlfn.XLOOKUP(C588,customers!$A$2:$A$1001,customers!$C$2:$C$1001,,)=0,"",_xlfn.XLOOKUP(C588,customers!$A$2:$A$1001,customers!$C$2:$C$1001,,))</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cm="1">
        <f t="array" ref="N588">_xlfn.IFS(I588="Rob","Robusta",I588="Exc","Excelsa",I588="Ara","Arabica",I588="Lib","Liberica")</f>
        <v>Robusta</v>
      </c>
      <c r="O588" t="str" cm="1">
        <f t="array" ref="O588">_xlfn.IFS(J588="M","Medium",J588="L","Light",J588="D","Dark")</f>
        <v>Light</v>
      </c>
      <c r="P588" t="str">
        <f>_xlfn.XLOOKUP(Orders[[#This Row],[Customer ID]],customers!$A$1:$A$1001,customers!$I$1:$I$1001,,0)</f>
        <v>No</v>
      </c>
    </row>
    <row r="589" spans="1:16" x14ac:dyDescent="0.25">
      <c r="A589" s="2" t="s">
        <v>3807</v>
      </c>
      <c r="B589" s="3">
        <v>44267</v>
      </c>
      <c r="C589" s="2" t="s">
        <v>3808</v>
      </c>
      <c r="D589" t="s">
        <v>6169</v>
      </c>
      <c r="E589" s="2">
        <v>1</v>
      </c>
      <c r="F589" s="2" t="str">
        <f>_xlfn.XLOOKUP(orders!C589,customers!$A$2:$A$1001,customers!$B$2:$B$1001)</f>
        <v>Bar O' Mahony</v>
      </c>
      <c r="G589" s="2" t="str">
        <f>IF(_xlfn.XLOOKUP(C589,customers!$A$2:$A$1001,customers!$C$2:$C$1001,,)=0,"",_xlfn.XLOOKUP(C589,customers!$A$2:$A$1001,customers!$C$2:$C$1001,,))</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cm="1">
        <f t="array" ref="N589">_xlfn.IFS(I589="Rob","Robusta",I589="Exc","Excelsa",I589="Ara","Arabica",I589="Lib","Liberica")</f>
        <v>Liberica</v>
      </c>
      <c r="O589" t="str" cm="1">
        <f t="array" ref="O589">_xlfn.IFS(J589="M","Medium",J589="L","Light",J589="D","Dark")</f>
        <v>Dark</v>
      </c>
      <c r="P589" t="str">
        <f>_xlfn.XLOOKUP(Orders[[#This Row],[Customer ID]],customers!$A$1:$A$1001,customers!$I$1:$I$1001,,0)</f>
        <v>Yes</v>
      </c>
    </row>
    <row r="590" spans="1:16" x14ac:dyDescent="0.25">
      <c r="A590" s="2" t="s">
        <v>3812</v>
      </c>
      <c r="B590" s="3">
        <v>44046</v>
      </c>
      <c r="C590" s="2" t="s">
        <v>3813</v>
      </c>
      <c r="D590" t="s">
        <v>6146</v>
      </c>
      <c r="E590" s="2">
        <v>2</v>
      </c>
      <c r="F590" s="2" t="str">
        <f>_xlfn.XLOOKUP(orders!C590,customers!$A$2:$A$1001,customers!$B$2:$B$1001)</f>
        <v>Valenka Stansbury</v>
      </c>
      <c r="G590" s="2" t="str">
        <f>IF(_xlfn.XLOOKUP(C590,customers!$A$2:$A$1001,customers!$C$2:$C$1001,,)=0,"",_xlfn.XLOOKUP(C590,customers!$A$2:$A$1001,customers!$C$2:$C$1001,,))</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cm="1">
        <f t="array" ref="N590">_xlfn.IFS(I590="Rob","Robusta",I590="Exc","Excelsa",I590="Ara","Arabica",I590="Lib","Liberica")</f>
        <v>Robusta</v>
      </c>
      <c r="O590" t="str" cm="1">
        <f t="array" ref="O590">_xlfn.IFS(J590="M","Medium",J590="L","Light",J590="D","Dark")</f>
        <v>Medium</v>
      </c>
      <c r="P590" t="str">
        <f>_xlfn.XLOOKUP(Orders[[#This Row],[Customer ID]],customers!$A$1:$A$1001,customers!$I$1:$I$1001,,0)</f>
        <v>Yes</v>
      </c>
    </row>
    <row r="591" spans="1:16" x14ac:dyDescent="0.25">
      <c r="A591" s="2" t="s">
        <v>3818</v>
      </c>
      <c r="B591" s="3">
        <v>43671</v>
      </c>
      <c r="C591" s="2" t="s">
        <v>3819</v>
      </c>
      <c r="D591" t="s">
        <v>6148</v>
      </c>
      <c r="E591" s="2">
        <v>6</v>
      </c>
      <c r="F591" s="2" t="str">
        <f>_xlfn.XLOOKUP(orders!C591,customers!$A$2:$A$1001,customers!$B$2:$B$1001)</f>
        <v>Daniel Heinonen</v>
      </c>
      <c r="G591" s="2" t="str">
        <f>IF(_xlfn.XLOOKUP(C591,customers!$A$2:$A$1001,customers!$C$2:$C$1001,,)=0,"",_xlfn.XLOOKUP(C591,customers!$A$2:$A$1001,customers!$C$2:$C$1001,,))</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cm="1">
        <f t="array" ref="N591">_xlfn.IFS(I591="Rob","Robusta",I591="Exc","Excelsa",I591="Ara","Arabica",I591="Lib","Liberica")</f>
        <v>Excelsa</v>
      </c>
      <c r="O591" t="str" cm="1">
        <f t="array" ref="O591">_xlfn.IFS(J591="M","Medium",J591="L","Light",J591="D","Dark")</f>
        <v>Light</v>
      </c>
      <c r="P591" t="str">
        <f>_xlfn.XLOOKUP(Orders[[#This Row],[Customer ID]],customers!$A$1:$A$1001,customers!$I$1:$I$1001,,0)</f>
        <v>No</v>
      </c>
    </row>
    <row r="592" spans="1:16" x14ac:dyDescent="0.25">
      <c r="A592" s="2" t="s">
        <v>3823</v>
      </c>
      <c r="B592" s="3">
        <v>43950</v>
      </c>
      <c r="C592" s="2" t="s">
        <v>3824</v>
      </c>
      <c r="D592" t="s">
        <v>6166</v>
      </c>
      <c r="E592" s="2">
        <v>2</v>
      </c>
      <c r="F592" s="2" t="str">
        <f>_xlfn.XLOOKUP(orders!C592,customers!$A$2:$A$1001,customers!$B$2:$B$1001)</f>
        <v>Jewelle Shenton</v>
      </c>
      <c r="G592" s="2" t="str">
        <f>IF(_xlfn.XLOOKUP(C592,customers!$A$2:$A$1001,customers!$C$2:$C$1001,,)=0,"",_xlfn.XLOOKUP(C592,customers!$A$2:$A$1001,customers!$C$2:$C$1001,,))</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cm="1">
        <f t="array" ref="N592">_xlfn.IFS(I592="Rob","Robusta",I592="Exc","Excelsa",I592="Ara","Arabica",I592="Lib","Liberica")</f>
        <v>Excelsa</v>
      </c>
      <c r="O592" t="str" cm="1">
        <f t="array" ref="O592">_xlfn.IFS(J592="M","Medium",J592="L","Light",J592="D","Dark")</f>
        <v>Medium</v>
      </c>
      <c r="P592" t="str">
        <f>_xlfn.XLOOKUP(Orders[[#This Row],[Customer ID]],customers!$A$1:$A$1001,customers!$I$1:$I$1001,,0)</f>
        <v>Yes</v>
      </c>
    </row>
    <row r="593" spans="1:16" x14ac:dyDescent="0.25">
      <c r="A593" s="2" t="s">
        <v>3829</v>
      </c>
      <c r="B593" s="3">
        <v>43587</v>
      </c>
      <c r="C593" s="2" t="s">
        <v>3830</v>
      </c>
      <c r="D593" t="s">
        <v>6163</v>
      </c>
      <c r="E593" s="2">
        <v>3</v>
      </c>
      <c r="F593" s="2" t="str">
        <f>_xlfn.XLOOKUP(orders!C593,customers!$A$2:$A$1001,customers!$B$2:$B$1001)</f>
        <v>Jennifer Wilkisson</v>
      </c>
      <c r="G593" s="2" t="str">
        <f>IF(_xlfn.XLOOKUP(C593,customers!$A$2:$A$1001,customers!$C$2:$C$1001,,)=0,"",_xlfn.XLOOKUP(C593,customers!$A$2:$A$1001,customers!$C$2:$C$1001,,))</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cm="1">
        <f t="array" ref="N593">_xlfn.IFS(I593="Rob","Robusta",I593="Exc","Excelsa",I593="Ara","Arabica",I593="Lib","Liberica")</f>
        <v>Robusta</v>
      </c>
      <c r="O593" t="str" cm="1">
        <f t="array" ref="O593">_xlfn.IFS(J593="M","Medium",J593="L","Light",J593="D","Dark")</f>
        <v>Dark</v>
      </c>
      <c r="P593" t="str">
        <f>_xlfn.XLOOKUP(Orders[[#This Row],[Customer ID]],customers!$A$1:$A$1001,customers!$I$1:$I$1001,,0)</f>
        <v>Yes</v>
      </c>
    </row>
    <row r="594" spans="1:16" x14ac:dyDescent="0.25">
      <c r="A594" s="2" t="s">
        <v>3834</v>
      </c>
      <c r="B594" s="3">
        <v>44437</v>
      </c>
      <c r="C594" s="2" t="s">
        <v>3835</v>
      </c>
      <c r="D594" t="s">
        <v>6175</v>
      </c>
      <c r="E594" s="2">
        <v>2</v>
      </c>
      <c r="F594" s="2" t="str">
        <f>_xlfn.XLOOKUP(orders!C594,customers!$A$2:$A$1001,customers!$B$2:$B$1001)</f>
        <v>Kylie Mowat</v>
      </c>
      <c r="G594" s="2" t="str">
        <f>IF(_xlfn.XLOOKUP(C594,customers!$A$2:$A$1001,customers!$C$2:$C$1001,,)=0,"",_xlfn.XLOOKUP(C594,customers!$A$2:$A$1001,customers!$C$2:$C$1001,,))</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cm="1">
        <f t="array" ref="N594">_xlfn.IFS(I594="Rob","Robusta",I594="Exc","Excelsa",I594="Ara","Arabica",I594="Lib","Liberica")</f>
        <v>Arabica</v>
      </c>
      <c r="O594" t="str" cm="1">
        <f t="array" ref="O594">_xlfn.IFS(J594="M","Medium",J594="L","Light",J594="D","Dark")</f>
        <v>Medium</v>
      </c>
      <c r="P594" t="str">
        <f>_xlfn.XLOOKUP(Orders[[#This Row],[Customer ID]],customers!$A$1:$A$1001,customers!$I$1:$I$1001,,0)</f>
        <v>No</v>
      </c>
    </row>
    <row r="595" spans="1:16" x14ac:dyDescent="0.25">
      <c r="A595" s="2" t="s">
        <v>3839</v>
      </c>
      <c r="B595" s="3">
        <v>43903</v>
      </c>
      <c r="C595" s="2" t="s">
        <v>3840</v>
      </c>
      <c r="D595" t="s">
        <v>6185</v>
      </c>
      <c r="E595" s="2">
        <v>1</v>
      </c>
      <c r="F595" s="2" t="str">
        <f>_xlfn.XLOOKUP(orders!C595,customers!$A$2:$A$1001,customers!$B$2:$B$1001)</f>
        <v>Cody Verissimo</v>
      </c>
      <c r="G595" s="2" t="str">
        <f>IF(_xlfn.XLOOKUP(C595,customers!$A$2:$A$1001,customers!$C$2:$C$1001,,)=0,"",_xlfn.XLOOKUP(C595,customers!$A$2:$A$1001,customers!$C$2:$C$1001,,))</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cm="1">
        <f t="array" ref="N595">_xlfn.IFS(I595="Rob","Robusta",I595="Exc","Excelsa",I595="Ara","Arabica",I595="Lib","Liberica")</f>
        <v>Excelsa</v>
      </c>
      <c r="O595" t="str" cm="1">
        <f t="array" ref="O595">_xlfn.IFS(J595="M","Medium",J595="L","Light",J595="D","Dark")</f>
        <v>Dark</v>
      </c>
      <c r="P595" t="str">
        <f>_xlfn.XLOOKUP(Orders[[#This Row],[Customer ID]],customers!$A$1:$A$1001,customers!$I$1:$I$1001,,0)</f>
        <v>Yes</v>
      </c>
    </row>
    <row r="596" spans="1:16" x14ac:dyDescent="0.25">
      <c r="A596" s="2" t="s">
        <v>3844</v>
      </c>
      <c r="B596" s="3">
        <v>43512</v>
      </c>
      <c r="C596" s="2" t="s">
        <v>3845</v>
      </c>
      <c r="D596" t="s">
        <v>6182</v>
      </c>
      <c r="E596" s="2">
        <v>2</v>
      </c>
      <c r="F596" s="2" t="str">
        <f>_xlfn.XLOOKUP(orders!C596,customers!$A$2:$A$1001,customers!$B$2:$B$1001)</f>
        <v>Gabriel Starcks</v>
      </c>
      <c r="G596" s="2" t="str">
        <f>IF(_xlfn.XLOOKUP(C596,customers!$A$2:$A$1001,customers!$C$2:$C$1001,,)=0,"",_xlfn.XLOOKUP(C596,customers!$A$2:$A$1001,customers!$C$2:$C$1001,,))</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cm="1">
        <f t="array" ref="N596">_xlfn.IFS(I596="Rob","Robusta",I596="Exc","Excelsa",I596="Ara","Arabica",I596="Lib","Liberica")</f>
        <v>Arabica</v>
      </c>
      <c r="O596" t="str" cm="1">
        <f t="array" ref="O596">_xlfn.IFS(J596="M","Medium",J596="L","Light",J596="D","Dark")</f>
        <v>Light</v>
      </c>
      <c r="P596" t="str">
        <f>_xlfn.XLOOKUP(Orders[[#This Row],[Customer ID]],customers!$A$1:$A$1001,customers!$I$1:$I$1001,,0)</f>
        <v>No</v>
      </c>
    </row>
    <row r="597" spans="1:16" x14ac:dyDescent="0.25">
      <c r="A597" s="2" t="s">
        <v>3850</v>
      </c>
      <c r="B597" s="3">
        <v>44527</v>
      </c>
      <c r="C597" s="2" t="s">
        <v>3851</v>
      </c>
      <c r="D597" t="s">
        <v>6171</v>
      </c>
      <c r="E597" s="2">
        <v>1</v>
      </c>
      <c r="F597" s="2" t="str">
        <f>_xlfn.XLOOKUP(orders!C597,customers!$A$2:$A$1001,customers!$B$2:$B$1001)</f>
        <v>Darby Dummer</v>
      </c>
      <c r="G597" s="2" t="str">
        <f>IF(_xlfn.XLOOKUP(C597,customers!$A$2:$A$1001,customers!$C$2:$C$1001,,)=0,"",_xlfn.XLOOKUP(C597,customers!$A$2:$A$1001,customers!$C$2:$C$1001,,))</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cm="1">
        <f t="array" ref="N597">_xlfn.IFS(I597="Rob","Robusta",I597="Exc","Excelsa",I597="Ara","Arabica",I597="Lib","Liberica")</f>
        <v>Excelsa</v>
      </c>
      <c r="O597" t="str" cm="1">
        <f t="array" ref="O597">_xlfn.IFS(J597="M","Medium",J597="L","Light",J597="D","Dark")</f>
        <v>Light</v>
      </c>
      <c r="P597" t="str">
        <f>_xlfn.XLOOKUP(Orders[[#This Row],[Customer ID]],customers!$A$1:$A$1001,customers!$I$1:$I$1001,,0)</f>
        <v>No</v>
      </c>
    </row>
    <row r="598" spans="1:16" x14ac:dyDescent="0.25">
      <c r="A598" s="2" t="s">
        <v>3854</v>
      </c>
      <c r="B598" s="3">
        <v>44523</v>
      </c>
      <c r="C598" s="2" t="s">
        <v>3855</v>
      </c>
      <c r="D598" t="s">
        <v>6157</v>
      </c>
      <c r="E598" s="2">
        <v>5</v>
      </c>
      <c r="F598" s="2" t="str">
        <f>_xlfn.XLOOKUP(orders!C598,customers!$A$2:$A$1001,customers!$B$2:$B$1001)</f>
        <v>Kienan Scholard</v>
      </c>
      <c r="G598" s="2" t="str">
        <f>IF(_xlfn.XLOOKUP(C598,customers!$A$2:$A$1001,customers!$C$2:$C$1001,,)=0,"",_xlfn.XLOOKUP(C598,customers!$A$2:$A$1001,customers!$C$2:$C$1001,,))</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cm="1">
        <f t="array" ref="N598">_xlfn.IFS(I598="Rob","Robusta",I598="Exc","Excelsa",I598="Ara","Arabica",I598="Lib","Liberica")</f>
        <v>Arabica</v>
      </c>
      <c r="O598" t="str" cm="1">
        <f t="array" ref="O598">_xlfn.IFS(J598="M","Medium",J598="L","Light",J598="D","Dark")</f>
        <v>Medium</v>
      </c>
      <c r="P598" t="str">
        <f>_xlfn.XLOOKUP(Orders[[#This Row],[Customer ID]],customers!$A$1:$A$1001,customers!$I$1:$I$1001,,0)</f>
        <v>No</v>
      </c>
    </row>
    <row r="599" spans="1:16" x14ac:dyDescent="0.25">
      <c r="A599" s="2" t="s">
        <v>3860</v>
      </c>
      <c r="B599" s="3">
        <v>44532</v>
      </c>
      <c r="C599" s="2" t="s">
        <v>3861</v>
      </c>
      <c r="D599" t="s">
        <v>6164</v>
      </c>
      <c r="E599" s="2">
        <v>4</v>
      </c>
      <c r="F599" s="2" t="str">
        <f>_xlfn.XLOOKUP(orders!C599,customers!$A$2:$A$1001,customers!$B$2:$B$1001)</f>
        <v>Bo Kindley</v>
      </c>
      <c r="G599" s="2" t="str">
        <f>IF(_xlfn.XLOOKUP(C599,customers!$A$2:$A$1001,customers!$C$2:$C$1001,,)=0,"",_xlfn.XLOOKUP(C599,customers!$A$2:$A$1001,customers!$C$2:$C$1001,,))</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cm="1">
        <f t="array" ref="N599">_xlfn.IFS(I599="Rob","Robusta",I599="Exc","Excelsa",I599="Ara","Arabica",I599="Lib","Liberica")</f>
        <v>Liberica</v>
      </c>
      <c r="O599" t="str" cm="1">
        <f t="array" ref="O599">_xlfn.IFS(J599="M","Medium",J599="L","Light",J599="D","Dark")</f>
        <v>Light</v>
      </c>
      <c r="P599" t="str">
        <f>_xlfn.XLOOKUP(Orders[[#This Row],[Customer ID]],customers!$A$1:$A$1001,customers!$I$1:$I$1001,,0)</f>
        <v>Yes</v>
      </c>
    </row>
    <row r="600" spans="1:16" x14ac:dyDescent="0.25">
      <c r="A600" s="2" t="s">
        <v>3866</v>
      </c>
      <c r="B600" s="3">
        <v>43471</v>
      </c>
      <c r="C600" s="2" t="s">
        <v>3867</v>
      </c>
      <c r="D600" t="s">
        <v>6174</v>
      </c>
      <c r="E600" s="2">
        <v>4</v>
      </c>
      <c r="F600" s="2" t="str">
        <f>_xlfn.XLOOKUP(orders!C600,customers!$A$2:$A$1001,customers!$B$2:$B$1001)</f>
        <v>Krissie Hammett</v>
      </c>
      <c r="G600" s="2" t="str">
        <f>IF(_xlfn.XLOOKUP(C600,customers!$A$2:$A$1001,customers!$C$2:$C$1001,,)=0,"",_xlfn.XLOOKUP(C600,customers!$A$2:$A$1001,customers!$C$2:$C$1001,,))</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cm="1">
        <f t="array" ref="N600">_xlfn.IFS(I600="Rob","Robusta",I600="Exc","Excelsa",I600="Ara","Arabica",I600="Lib","Liberica")</f>
        <v>Robusta</v>
      </c>
      <c r="O600" t="str" cm="1">
        <f t="array" ref="O600">_xlfn.IFS(J600="M","Medium",J600="L","Light",J600="D","Dark")</f>
        <v>Medium</v>
      </c>
      <c r="P600" t="str">
        <f>_xlfn.XLOOKUP(Orders[[#This Row],[Customer ID]],customers!$A$1:$A$1001,customers!$I$1:$I$1001,,0)</f>
        <v>Yes</v>
      </c>
    </row>
    <row r="601" spans="1:16" x14ac:dyDescent="0.25">
      <c r="A601" s="2" t="s">
        <v>3872</v>
      </c>
      <c r="B601" s="3">
        <v>44321</v>
      </c>
      <c r="C601" s="2" t="s">
        <v>3873</v>
      </c>
      <c r="D601" t="s">
        <v>6154</v>
      </c>
      <c r="E601" s="2">
        <v>4</v>
      </c>
      <c r="F601" s="2" t="str">
        <f>_xlfn.XLOOKUP(orders!C601,customers!$A$2:$A$1001,customers!$B$2:$B$1001)</f>
        <v>Alisha Hulburt</v>
      </c>
      <c r="G601" s="2" t="str">
        <f>IF(_xlfn.XLOOKUP(C601,customers!$A$2:$A$1001,customers!$C$2:$C$1001,,)=0,"",_xlfn.XLOOKUP(C601,customers!$A$2:$A$1001,customers!$C$2:$C$1001,,))</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cm="1">
        <f t="array" ref="N601">_xlfn.IFS(I601="Rob","Robusta",I601="Exc","Excelsa",I601="Ara","Arabica",I601="Lib","Liberica")</f>
        <v>Arabica</v>
      </c>
      <c r="O601" t="str" cm="1">
        <f t="array" ref="O601">_xlfn.IFS(J601="M","Medium",J601="L","Light",J601="D","Dark")</f>
        <v>Dark</v>
      </c>
      <c r="P601" t="str">
        <f>_xlfn.XLOOKUP(Orders[[#This Row],[Customer ID]],customers!$A$1:$A$1001,customers!$I$1:$I$1001,,0)</f>
        <v>Yes</v>
      </c>
    </row>
    <row r="602" spans="1:16" x14ac:dyDescent="0.25">
      <c r="A602" s="2" t="s">
        <v>3877</v>
      </c>
      <c r="B602" s="3">
        <v>44492</v>
      </c>
      <c r="C602" s="2" t="s">
        <v>3878</v>
      </c>
      <c r="D602" t="s">
        <v>6169</v>
      </c>
      <c r="E602" s="2">
        <v>1</v>
      </c>
      <c r="F602" s="2" t="str">
        <f>_xlfn.XLOOKUP(orders!C602,customers!$A$2:$A$1001,customers!$B$2:$B$1001)</f>
        <v>Peyter Lauritzen</v>
      </c>
      <c r="G602" s="2" t="str">
        <f>IF(_xlfn.XLOOKUP(C602,customers!$A$2:$A$1001,customers!$C$2:$C$1001,,)=0,"",_xlfn.XLOOKUP(C602,customers!$A$2:$A$1001,customers!$C$2:$C$1001,,))</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cm="1">
        <f t="array" ref="N602">_xlfn.IFS(I602="Rob","Robusta",I602="Exc","Excelsa",I602="Ara","Arabica",I602="Lib","Liberica")</f>
        <v>Liberica</v>
      </c>
      <c r="O602" t="str" cm="1">
        <f t="array" ref="O602">_xlfn.IFS(J602="M","Medium",J602="L","Light",J602="D","Dark")</f>
        <v>Dark</v>
      </c>
      <c r="P602" t="str">
        <f>_xlfn.XLOOKUP(Orders[[#This Row],[Customer ID]],customers!$A$1:$A$1001,customers!$I$1:$I$1001,,0)</f>
        <v>No</v>
      </c>
    </row>
    <row r="603" spans="1:16" x14ac:dyDescent="0.25">
      <c r="A603" s="2" t="s">
        <v>3883</v>
      </c>
      <c r="B603" s="3">
        <v>43815</v>
      </c>
      <c r="C603" s="2" t="s">
        <v>3884</v>
      </c>
      <c r="D603" t="s">
        <v>6142</v>
      </c>
      <c r="E603" s="2">
        <v>4</v>
      </c>
      <c r="F603" s="2" t="str">
        <f>_xlfn.XLOOKUP(orders!C603,customers!$A$2:$A$1001,customers!$B$2:$B$1001)</f>
        <v>Aurelia Burgwin</v>
      </c>
      <c r="G603" s="2" t="str">
        <f>IF(_xlfn.XLOOKUP(C603,customers!$A$2:$A$1001,customers!$C$2:$C$1001,,)=0,"",_xlfn.XLOOKUP(C603,customers!$A$2:$A$1001,customers!$C$2:$C$1001,,))</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cm="1">
        <f t="array" ref="N603">_xlfn.IFS(I603="Rob","Robusta",I603="Exc","Excelsa",I603="Ara","Arabica",I603="Lib","Liberica")</f>
        <v>Robusta</v>
      </c>
      <c r="O603" t="str" cm="1">
        <f t="array" ref="O603">_xlfn.IFS(J603="M","Medium",J603="L","Light",J603="D","Dark")</f>
        <v>Light</v>
      </c>
      <c r="P603" t="str">
        <f>_xlfn.XLOOKUP(Orders[[#This Row],[Customer ID]],customers!$A$1:$A$1001,customers!$I$1:$I$1001,,0)</f>
        <v>Yes</v>
      </c>
    </row>
    <row r="604" spans="1:16" x14ac:dyDescent="0.25">
      <c r="A604" s="2" t="s">
        <v>3889</v>
      </c>
      <c r="B604" s="3">
        <v>43603</v>
      </c>
      <c r="C604" s="2" t="s">
        <v>3890</v>
      </c>
      <c r="D604" t="s">
        <v>6184</v>
      </c>
      <c r="E604" s="2">
        <v>5</v>
      </c>
      <c r="F604" s="2" t="str">
        <f>_xlfn.XLOOKUP(orders!C604,customers!$A$2:$A$1001,customers!$B$2:$B$1001)</f>
        <v>Emalee Rolin</v>
      </c>
      <c r="G604" s="2" t="str">
        <f>IF(_xlfn.XLOOKUP(C604,customers!$A$2:$A$1001,customers!$C$2:$C$1001,,)=0,"",_xlfn.XLOOKUP(C604,customers!$A$2:$A$1001,customers!$C$2:$C$1001,,))</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cm="1">
        <f t="array" ref="N604">_xlfn.IFS(I604="Rob","Robusta",I604="Exc","Excelsa",I604="Ara","Arabica",I604="Lib","Liberica")</f>
        <v>Excelsa</v>
      </c>
      <c r="O604" t="str" cm="1">
        <f t="array" ref="O604">_xlfn.IFS(J604="M","Medium",J604="L","Light",J604="D","Dark")</f>
        <v>Light</v>
      </c>
      <c r="P604" t="str">
        <f>_xlfn.XLOOKUP(Orders[[#This Row],[Customer ID]],customers!$A$1:$A$1001,customers!$I$1:$I$1001,,0)</f>
        <v>Yes</v>
      </c>
    </row>
    <row r="605" spans="1:16" x14ac:dyDescent="0.25">
      <c r="A605" s="2" t="s">
        <v>3895</v>
      </c>
      <c r="B605" s="3">
        <v>43660</v>
      </c>
      <c r="C605" s="2" t="s">
        <v>3896</v>
      </c>
      <c r="D605" t="s">
        <v>6174</v>
      </c>
      <c r="E605" s="2">
        <v>3</v>
      </c>
      <c r="F605" s="2" t="str">
        <f>_xlfn.XLOOKUP(orders!C605,customers!$A$2:$A$1001,customers!$B$2:$B$1001)</f>
        <v>Donavon Fowle</v>
      </c>
      <c r="G605" s="2" t="str">
        <f>IF(_xlfn.XLOOKUP(C605,customers!$A$2:$A$1001,customers!$C$2:$C$1001,,)=0,"",_xlfn.XLOOKUP(C605,customers!$A$2:$A$1001,customers!$C$2:$C$1001,,))</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cm="1">
        <f t="array" ref="N605">_xlfn.IFS(I605="Rob","Robusta",I605="Exc","Excelsa",I605="Ara","Arabica",I605="Lib","Liberica")</f>
        <v>Robusta</v>
      </c>
      <c r="O605" t="str" cm="1">
        <f t="array" ref="O605">_xlfn.IFS(J605="M","Medium",J605="L","Light",J605="D","Dark")</f>
        <v>Medium</v>
      </c>
      <c r="P605" t="str">
        <f>_xlfn.XLOOKUP(Orders[[#This Row],[Customer ID]],customers!$A$1:$A$1001,customers!$I$1:$I$1001,,0)</f>
        <v>No</v>
      </c>
    </row>
    <row r="606" spans="1:16" x14ac:dyDescent="0.25">
      <c r="A606" s="2" t="s">
        <v>3900</v>
      </c>
      <c r="B606" s="3">
        <v>44148</v>
      </c>
      <c r="C606" s="2" t="s">
        <v>3901</v>
      </c>
      <c r="D606" t="s">
        <v>6165</v>
      </c>
      <c r="E606" s="2">
        <v>4</v>
      </c>
      <c r="F606" s="2" t="str">
        <f>_xlfn.XLOOKUP(orders!C606,customers!$A$2:$A$1001,customers!$B$2:$B$1001)</f>
        <v>Jorge Bettison</v>
      </c>
      <c r="G606" s="2" t="str">
        <f>IF(_xlfn.XLOOKUP(C606,customers!$A$2:$A$1001,customers!$C$2:$C$1001,,)=0,"",_xlfn.XLOOKUP(C606,customers!$A$2:$A$1001,customers!$C$2:$C$1001,,))</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cm="1">
        <f t="array" ref="N606">_xlfn.IFS(I606="Rob","Robusta",I606="Exc","Excelsa",I606="Ara","Arabica",I606="Lib","Liberica")</f>
        <v>Liberica</v>
      </c>
      <c r="O606" t="str" cm="1">
        <f t="array" ref="O606">_xlfn.IFS(J606="M","Medium",J606="L","Light",J606="D","Dark")</f>
        <v>Dark</v>
      </c>
      <c r="P606" t="str">
        <f>_xlfn.XLOOKUP(Orders[[#This Row],[Customer ID]],customers!$A$1:$A$1001,customers!$I$1:$I$1001,,0)</f>
        <v>No</v>
      </c>
    </row>
    <row r="607" spans="1:16" x14ac:dyDescent="0.25">
      <c r="A607" s="2" t="s">
        <v>3905</v>
      </c>
      <c r="B607" s="3">
        <v>44028</v>
      </c>
      <c r="C607" s="2" t="s">
        <v>3906</v>
      </c>
      <c r="D607" t="s">
        <v>6182</v>
      </c>
      <c r="E607" s="2">
        <v>5</v>
      </c>
      <c r="F607" s="2" t="str">
        <f>_xlfn.XLOOKUP(orders!C607,customers!$A$2:$A$1001,customers!$B$2:$B$1001)</f>
        <v>Wang Powlesland</v>
      </c>
      <c r="G607" s="2" t="str">
        <f>IF(_xlfn.XLOOKUP(C607,customers!$A$2:$A$1001,customers!$C$2:$C$1001,,)=0,"",_xlfn.XLOOKUP(C607,customers!$A$2:$A$1001,customers!$C$2:$C$1001,,))</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cm="1">
        <f t="array" ref="N607">_xlfn.IFS(I607="Rob","Robusta",I607="Exc","Excelsa",I607="Ara","Arabica",I607="Lib","Liberica")</f>
        <v>Arabica</v>
      </c>
      <c r="O607" t="str" cm="1">
        <f t="array" ref="O607">_xlfn.IFS(J607="M","Medium",J607="L","Light",J607="D","Dark")</f>
        <v>Light</v>
      </c>
      <c r="P607" t="str">
        <f>_xlfn.XLOOKUP(Orders[[#This Row],[Customer ID]],customers!$A$1:$A$1001,customers!$I$1:$I$1001,,0)</f>
        <v>Yes</v>
      </c>
    </row>
    <row r="608" spans="1:16" x14ac:dyDescent="0.25">
      <c r="A608" s="2" t="s">
        <v>3911</v>
      </c>
      <c r="B608" s="3">
        <v>44138</v>
      </c>
      <c r="C608" s="2" t="s">
        <v>3840</v>
      </c>
      <c r="D608" t="s">
        <v>6164</v>
      </c>
      <c r="E608" s="2">
        <v>3</v>
      </c>
      <c r="F608" s="2" t="str">
        <f>_xlfn.XLOOKUP(orders!C608,customers!$A$2:$A$1001,customers!$B$2:$B$1001)</f>
        <v>Cody Verissimo</v>
      </c>
      <c r="G608" s="2" t="str">
        <f>IF(_xlfn.XLOOKUP(C608,customers!$A$2:$A$1001,customers!$C$2:$C$1001,,)=0,"",_xlfn.XLOOKUP(C608,customers!$A$2:$A$1001,customers!$C$2:$C$1001,,))</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cm="1">
        <f t="array" ref="N608">_xlfn.IFS(I608="Rob","Robusta",I608="Exc","Excelsa",I608="Ara","Arabica",I608="Lib","Liberica")</f>
        <v>Liberica</v>
      </c>
      <c r="O608" t="str" cm="1">
        <f t="array" ref="O608">_xlfn.IFS(J608="M","Medium",J608="L","Light",J608="D","Dark")</f>
        <v>Light</v>
      </c>
      <c r="P608" t="str">
        <f>_xlfn.XLOOKUP(Orders[[#This Row],[Customer ID]],customers!$A$1:$A$1001,customers!$I$1:$I$1001,,0)</f>
        <v>Yes</v>
      </c>
    </row>
    <row r="609" spans="1:16" x14ac:dyDescent="0.25">
      <c r="A609" s="2" t="s">
        <v>3917</v>
      </c>
      <c r="B609" s="3">
        <v>44640</v>
      </c>
      <c r="C609" s="2" t="s">
        <v>3918</v>
      </c>
      <c r="D609" t="s">
        <v>6153</v>
      </c>
      <c r="E609" s="2">
        <v>1</v>
      </c>
      <c r="F609" s="2" t="str">
        <f>_xlfn.XLOOKUP(orders!C609,customers!$A$2:$A$1001,customers!$B$2:$B$1001)</f>
        <v>Laurence Ellingham</v>
      </c>
      <c r="G609" s="2" t="str">
        <f>IF(_xlfn.XLOOKUP(C609,customers!$A$2:$A$1001,customers!$C$2:$C$1001,,)=0,"",_xlfn.XLOOKUP(C609,customers!$A$2:$A$1001,customers!$C$2:$C$1001,,))</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cm="1">
        <f t="array" ref="N609">_xlfn.IFS(I609="Rob","Robusta",I609="Exc","Excelsa",I609="Ara","Arabica",I609="Lib","Liberica")</f>
        <v>Excelsa</v>
      </c>
      <c r="O609" t="str" cm="1">
        <f t="array" ref="O609">_xlfn.IFS(J609="M","Medium",J609="L","Light",J609="D","Dark")</f>
        <v>Dark</v>
      </c>
      <c r="P609" t="str">
        <f>_xlfn.XLOOKUP(Orders[[#This Row],[Customer ID]],customers!$A$1:$A$1001,customers!$I$1:$I$1001,,0)</f>
        <v>Yes</v>
      </c>
    </row>
    <row r="610" spans="1:16" x14ac:dyDescent="0.25">
      <c r="A610" s="2" t="s">
        <v>3923</v>
      </c>
      <c r="B610" s="3">
        <v>44608</v>
      </c>
      <c r="C610" s="2" t="s">
        <v>3924</v>
      </c>
      <c r="D610" t="s">
        <v>6185</v>
      </c>
      <c r="E610" s="2">
        <v>2</v>
      </c>
      <c r="F610" s="2" t="str">
        <f>_xlfn.XLOOKUP(orders!C610,customers!$A$2:$A$1001,customers!$B$2:$B$1001)</f>
        <v>Billy Neiland</v>
      </c>
      <c r="G610" s="2" t="str">
        <f>IF(_xlfn.XLOOKUP(C610,customers!$A$2:$A$1001,customers!$C$2:$C$1001,,)=0,"",_xlfn.XLOOKUP(C610,customers!$A$2:$A$1001,customers!$C$2:$C$1001,,))</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cm="1">
        <f t="array" ref="N610">_xlfn.IFS(I610="Rob","Robusta",I610="Exc","Excelsa",I610="Ara","Arabica",I610="Lib","Liberica")</f>
        <v>Excelsa</v>
      </c>
      <c r="O610" t="str" cm="1">
        <f t="array" ref="O610">_xlfn.IFS(J610="M","Medium",J610="L","Light",J610="D","Dark")</f>
        <v>Dark</v>
      </c>
      <c r="P610" t="str">
        <f>_xlfn.XLOOKUP(Orders[[#This Row],[Customer ID]],customers!$A$1:$A$1001,customers!$I$1:$I$1001,,0)</f>
        <v>No</v>
      </c>
    </row>
    <row r="611" spans="1:16" x14ac:dyDescent="0.25">
      <c r="A611" s="2" t="s">
        <v>3927</v>
      </c>
      <c r="B611" s="3">
        <v>44147</v>
      </c>
      <c r="C611" s="2" t="s">
        <v>3928</v>
      </c>
      <c r="D611" t="s">
        <v>6159</v>
      </c>
      <c r="E611" s="2">
        <v>6</v>
      </c>
      <c r="F611" s="2" t="str">
        <f>_xlfn.XLOOKUP(orders!C611,customers!$A$2:$A$1001,customers!$B$2:$B$1001)</f>
        <v>Ancell Fendt</v>
      </c>
      <c r="G611" s="2" t="str">
        <f>IF(_xlfn.XLOOKUP(C611,customers!$A$2:$A$1001,customers!$C$2:$C$1001,,)=0,"",_xlfn.XLOOKUP(C611,customers!$A$2:$A$1001,customers!$C$2:$C$1001,,))</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cm="1">
        <f t="array" ref="N611">_xlfn.IFS(I611="Rob","Robusta",I611="Exc","Excelsa",I611="Ara","Arabica",I611="Lib","Liberica")</f>
        <v>Liberica</v>
      </c>
      <c r="O611" t="str" cm="1">
        <f t="array" ref="O611">_xlfn.IFS(J611="M","Medium",J611="L","Light",J611="D","Dark")</f>
        <v>Medium</v>
      </c>
      <c r="P611" t="str">
        <f>_xlfn.XLOOKUP(Orders[[#This Row],[Customer ID]],customers!$A$1:$A$1001,customers!$I$1:$I$1001,,0)</f>
        <v>Yes</v>
      </c>
    </row>
    <row r="612" spans="1:16" x14ac:dyDescent="0.25">
      <c r="A612" s="2" t="s">
        <v>3933</v>
      </c>
      <c r="B612" s="3">
        <v>43743</v>
      </c>
      <c r="C612" s="2" t="s">
        <v>3934</v>
      </c>
      <c r="D612" t="s">
        <v>6138</v>
      </c>
      <c r="E612" s="2">
        <v>4</v>
      </c>
      <c r="F612" s="2" t="str">
        <f>_xlfn.XLOOKUP(orders!C612,customers!$A$2:$A$1001,customers!$B$2:$B$1001)</f>
        <v>Angelia Cleyburn</v>
      </c>
      <c r="G612" s="2" t="str">
        <f>IF(_xlfn.XLOOKUP(C612,customers!$A$2:$A$1001,customers!$C$2:$C$1001,,)=0,"",_xlfn.XLOOKUP(C612,customers!$A$2:$A$1001,customers!$C$2:$C$1001,,))</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cm="1">
        <f t="array" ref="N612">_xlfn.IFS(I612="Rob","Robusta",I612="Exc","Excelsa",I612="Ara","Arabica",I612="Lib","Liberica")</f>
        <v>Robusta</v>
      </c>
      <c r="O612" t="str" cm="1">
        <f t="array" ref="O612">_xlfn.IFS(J612="M","Medium",J612="L","Light",J612="D","Dark")</f>
        <v>Medium</v>
      </c>
      <c r="P612" t="str">
        <f>_xlfn.XLOOKUP(Orders[[#This Row],[Customer ID]],customers!$A$1:$A$1001,customers!$I$1:$I$1001,,0)</f>
        <v>No</v>
      </c>
    </row>
    <row r="613" spans="1:16" x14ac:dyDescent="0.25">
      <c r="A613" s="2" t="s">
        <v>3939</v>
      </c>
      <c r="B613" s="3">
        <v>43739</v>
      </c>
      <c r="C613" s="2" t="s">
        <v>3940</v>
      </c>
      <c r="D613" t="s">
        <v>6148</v>
      </c>
      <c r="E613" s="2">
        <v>2</v>
      </c>
      <c r="F613" s="2" t="str">
        <f>_xlfn.XLOOKUP(orders!C613,customers!$A$2:$A$1001,customers!$B$2:$B$1001)</f>
        <v>Temple Castiglione</v>
      </c>
      <c r="G613" s="2" t="str">
        <f>IF(_xlfn.XLOOKUP(C613,customers!$A$2:$A$1001,customers!$C$2:$C$1001,,)=0,"",_xlfn.XLOOKUP(C613,customers!$A$2:$A$1001,customers!$C$2:$C$1001,,))</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cm="1">
        <f t="array" ref="N613">_xlfn.IFS(I613="Rob","Robusta",I613="Exc","Excelsa",I613="Ara","Arabica",I613="Lib","Liberica")</f>
        <v>Excelsa</v>
      </c>
      <c r="O613" t="str" cm="1">
        <f t="array" ref="O613">_xlfn.IFS(J613="M","Medium",J613="L","Light",J613="D","Dark")</f>
        <v>Light</v>
      </c>
      <c r="P613" t="str">
        <f>_xlfn.XLOOKUP(Orders[[#This Row],[Customer ID]],customers!$A$1:$A$1001,customers!$I$1:$I$1001,,0)</f>
        <v>No</v>
      </c>
    </row>
    <row r="614" spans="1:16" x14ac:dyDescent="0.25">
      <c r="A614" s="2" t="s">
        <v>3945</v>
      </c>
      <c r="B614" s="3">
        <v>43896</v>
      </c>
      <c r="C614" s="2" t="s">
        <v>3946</v>
      </c>
      <c r="D614" t="s">
        <v>6152</v>
      </c>
      <c r="E614" s="2">
        <v>4</v>
      </c>
      <c r="F614" s="2" t="str">
        <f>_xlfn.XLOOKUP(orders!C614,customers!$A$2:$A$1001,customers!$B$2:$B$1001)</f>
        <v>Betti Lacasa</v>
      </c>
      <c r="G614" s="2" t="str">
        <f>IF(_xlfn.XLOOKUP(C614,customers!$A$2:$A$1001,customers!$C$2:$C$1001,,)=0,"",_xlfn.XLOOKUP(C614,customers!$A$2:$A$1001,customers!$C$2:$C$1001,,))</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cm="1">
        <f t="array" ref="N614">_xlfn.IFS(I614="Rob","Robusta",I614="Exc","Excelsa",I614="Ara","Arabica",I614="Lib","Liberica")</f>
        <v>Arabica</v>
      </c>
      <c r="O614" t="str" cm="1">
        <f t="array" ref="O614">_xlfn.IFS(J614="M","Medium",J614="L","Light",J614="D","Dark")</f>
        <v>Medium</v>
      </c>
      <c r="P614" t="str">
        <f>_xlfn.XLOOKUP(Orders[[#This Row],[Customer ID]],customers!$A$1:$A$1001,customers!$I$1:$I$1001,,0)</f>
        <v>No</v>
      </c>
    </row>
    <row r="615" spans="1:16" x14ac:dyDescent="0.25">
      <c r="A615" s="2" t="s">
        <v>3950</v>
      </c>
      <c r="B615" s="3">
        <v>43761</v>
      </c>
      <c r="C615" s="2" t="s">
        <v>3951</v>
      </c>
      <c r="D615" t="s">
        <v>6146</v>
      </c>
      <c r="E615" s="2">
        <v>1</v>
      </c>
      <c r="F615" s="2" t="str">
        <f>_xlfn.XLOOKUP(orders!C615,customers!$A$2:$A$1001,customers!$B$2:$B$1001)</f>
        <v>Gunilla Lynch</v>
      </c>
      <c r="G615" s="2" t="str">
        <f>IF(_xlfn.XLOOKUP(C615,customers!$A$2:$A$1001,customers!$C$2:$C$1001,,)=0,"",_xlfn.XLOOKUP(C615,customers!$A$2:$A$1001,customers!$C$2:$C$1001,,))</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cm="1">
        <f t="array" ref="N615">_xlfn.IFS(I615="Rob","Robusta",I615="Exc","Excelsa",I615="Ara","Arabica",I615="Lib","Liberica")</f>
        <v>Robusta</v>
      </c>
      <c r="O615" t="str" cm="1">
        <f t="array" ref="O615">_xlfn.IFS(J615="M","Medium",J615="L","Light",J615="D","Dark")</f>
        <v>Medium</v>
      </c>
      <c r="P615" t="str">
        <f>_xlfn.XLOOKUP(Orders[[#This Row],[Customer ID]],customers!$A$1:$A$1001,customers!$I$1:$I$1001,,0)</f>
        <v>No</v>
      </c>
    </row>
    <row r="616" spans="1:16" x14ac:dyDescent="0.25">
      <c r="A616" s="2" t="s">
        <v>3955</v>
      </c>
      <c r="B616" s="3">
        <v>43944</v>
      </c>
      <c r="C616" s="2" t="s">
        <v>3840</v>
      </c>
      <c r="D616" t="s">
        <v>6146</v>
      </c>
      <c r="E616" s="2">
        <v>5</v>
      </c>
      <c r="F616" s="2" t="str">
        <f>_xlfn.XLOOKUP(orders!C616,customers!$A$2:$A$1001,customers!$B$2:$B$1001)</f>
        <v>Cody Verissimo</v>
      </c>
      <c r="G616" s="2" t="str">
        <f>IF(_xlfn.XLOOKUP(C616,customers!$A$2:$A$1001,customers!$C$2:$C$1001,,)=0,"",_xlfn.XLOOKUP(C616,customers!$A$2:$A$1001,customers!$C$2:$C$1001,,))</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cm="1">
        <f t="array" ref="N616">_xlfn.IFS(I616="Rob","Robusta",I616="Exc","Excelsa",I616="Ara","Arabica",I616="Lib","Liberica")</f>
        <v>Robusta</v>
      </c>
      <c r="O616" t="str" cm="1">
        <f t="array" ref="O616">_xlfn.IFS(J616="M","Medium",J616="L","Light",J616="D","Dark")</f>
        <v>Medium</v>
      </c>
      <c r="P616" t="str">
        <f>_xlfn.XLOOKUP(Orders[[#This Row],[Customer ID]],customers!$A$1:$A$1001,customers!$I$1:$I$1001,,0)</f>
        <v>Yes</v>
      </c>
    </row>
    <row r="617" spans="1:16" x14ac:dyDescent="0.25">
      <c r="A617" s="2" t="s">
        <v>3960</v>
      </c>
      <c r="B617" s="3">
        <v>44006</v>
      </c>
      <c r="C617" s="2" t="s">
        <v>3961</v>
      </c>
      <c r="D617" t="s">
        <v>6164</v>
      </c>
      <c r="E617" s="2">
        <v>2</v>
      </c>
      <c r="F617" s="2" t="str">
        <f>_xlfn.XLOOKUP(orders!C617,customers!$A$2:$A$1001,customers!$B$2:$B$1001)</f>
        <v>Shay Couronne</v>
      </c>
      <c r="G617" s="2" t="str">
        <f>IF(_xlfn.XLOOKUP(C617,customers!$A$2:$A$1001,customers!$C$2:$C$1001,,)=0,"",_xlfn.XLOOKUP(C617,customers!$A$2:$A$1001,customers!$C$2:$C$1001,,))</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cm="1">
        <f t="array" ref="N617">_xlfn.IFS(I617="Rob","Robusta",I617="Exc","Excelsa",I617="Ara","Arabica",I617="Lib","Liberica")</f>
        <v>Liberica</v>
      </c>
      <c r="O617" t="str" cm="1">
        <f t="array" ref="O617">_xlfn.IFS(J617="M","Medium",J617="L","Light",J617="D","Dark")</f>
        <v>Light</v>
      </c>
      <c r="P617" t="str">
        <f>_xlfn.XLOOKUP(Orders[[#This Row],[Customer ID]],customers!$A$1:$A$1001,customers!$I$1:$I$1001,,0)</f>
        <v>Yes</v>
      </c>
    </row>
    <row r="618" spans="1:16" x14ac:dyDescent="0.25">
      <c r="A618" s="2" t="s">
        <v>3966</v>
      </c>
      <c r="B618" s="3">
        <v>44271</v>
      </c>
      <c r="C618" s="2" t="s">
        <v>3967</v>
      </c>
      <c r="D618" t="s">
        <v>6166</v>
      </c>
      <c r="E618" s="2">
        <v>4</v>
      </c>
      <c r="F618" s="2" t="str">
        <f>_xlfn.XLOOKUP(orders!C618,customers!$A$2:$A$1001,customers!$B$2:$B$1001)</f>
        <v>Linus Flippelli</v>
      </c>
      <c r="G618" s="2" t="str">
        <f>IF(_xlfn.XLOOKUP(C618,customers!$A$2:$A$1001,customers!$C$2:$C$1001,,)=0,"",_xlfn.XLOOKUP(C618,customers!$A$2:$A$1001,customers!$C$2:$C$1001,,))</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cm="1">
        <f t="array" ref="N618">_xlfn.IFS(I618="Rob","Robusta",I618="Exc","Excelsa",I618="Ara","Arabica",I618="Lib","Liberica")</f>
        <v>Excelsa</v>
      </c>
      <c r="O618" t="str" cm="1">
        <f t="array" ref="O618">_xlfn.IFS(J618="M","Medium",J618="L","Light",J618="D","Dark")</f>
        <v>Medium</v>
      </c>
      <c r="P618" t="str">
        <f>_xlfn.XLOOKUP(Orders[[#This Row],[Customer ID]],customers!$A$1:$A$1001,customers!$I$1:$I$1001,,0)</f>
        <v>No</v>
      </c>
    </row>
    <row r="619" spans="1:16" x14ac:dyDescent="0.25">
      <c r="A619" s="2" t="s">
        <v>3972</v>
      </c>
      <c r="B619" s="3">
        <v>43928</v>
      </c>
      <c r="C619" s="2" t="s">
        <v>3973</v>
      </c>
      <c r="D619" t="s">
        <v>6181</v>
      </c>
      <c r="E619" s="2">
        <v>1</v>
      </c>
      <c r="F619" s="2" t="str">
        <f>_xlfn.XLOOKUP(orders!C619,customers!$A$2:$A$1001,customers!$B$2:$B$1001)</f>
        <v>Rachelle Elizabeth</v>
      </c>
      <c r="G619" s="2" t="str">
        <f>IF(_xlfn.XLOOKUP(C619,customers!$A$2:$A$1001,customers!$C$2:$C$1001,,)=0,"",_xlfn.XLOOKUP(C619,customers!$A$2:$A$1001,customers!$C$2:$C$1001,,))</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cm="1">
        <f t="array" ref="N619">_xlfn.IFS(I619="Rob","Robusta",I619="Exc","Excelsa",I619="Ara","Arabica",I619="Lib","Liberica")</f>
        <v>Liberica</v>
      </c>
      <c r="O619" t="str" cm="1">
        <f t="array" ref="O619">_xlfn.IFS(J619="M","Medium",J619="L","Light",J619="D","Dark")</f>
        <v>Medium</v>
      </c>
      <c r="P619" t="str">
        <f>_xlfn.XLOOKUP(Orders[[#This Row],[Customer ID]],customers!$A$1:$A$1001,customers!$I$1:$I$1001,,0)</f>
        <v>No</v>
      </c>
    </row>
    <row r="620" spans="1:16" x14ac:dyDescent="0.25">
      <c r="A620" s="2" t="s">
        <v>3978</v>
      </c>
      <c r="B620" s="3">
        <v>44469</v>
      </c>
      <c r="C620" s="2" t="s">
        <v>3979</v>
      </c>
      <c r="D620" t="s">
        <v>6183</v>
      </c>
      <c r="E620" s="2">
        <v>6</v>
      </c>
      <c r="F620" s="2" t="str">
        <f>_xlfn.XLOOKUP(orders!C620,customers!$A$2:$A$1001,customers!$B$2:$B$1001)</f>
        <v>Innis Renhard</v>
      </c>
      <c r="G620" s="2" t="str">
        <f>IF(_xlfn.XLOOKUP(C620,customers!$A$2:$A$1001,customers!$C$2:$C$1001,,)=0,"",_xlfn.XLOOKUP(C620,customers!$A$2:$A$1001,customers!$C$2:$C$1001,,))</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cm="1">
        <f t="array" ref="N620">_xlfn.IFS(I620="Rob","Robusta",I620="Exc","Excelsa",I620="Ara","Arabica",I620="Lib","Liberica")</f>
        <v>Excelsa</v>
      </c>
      <c r="O620" t="str" cm="1">
        <f t="array" ref="O620">_xlfn.IFS(J620="M","Medium",J620="L","Light",J620="D","Dark")</f>
        <v>Dark</v>
      </c>
      <c r="P620" t="str">
        <f>_xlfn.XLOOKUP(Orders[[#This Row],[Customer ID]],customers!$A$1:$A$1001,customers!$I$1:$I$1001,,0)</f>
        <v>Yes</v>
      </c>
    </row>
    <row r="621" spans="1:16" x14ac:dyDescent="0.25">
      <c r="A621" s="2" t="s">
        <v>3984</v>
      </c>
      <c r="B621" s="3">
        <v>44682</v>
      </c>
      <c r="C621" s="2" t="s">
        <v>3985</v>
      </c>
      <c r="D621" t="s">
        <v>6169</v>
      </c>
      <c r="E621" s="2">
        <v>2</v>
      </c>
      <c r="F621" s="2" t="str">
        <f>_xlfn.XLOOKUP(orders!C621,customers!$A$2:$A$1001,customers!$B$2:$B$1001)</f>
        <v>Winne Roche</v>
      </c>
      <c r="G621" s="2" t="str">
        <f>IF(_xlfn.XLOOKUP(C621,customers!$A$2:$A$1001,customers!$C$2:$C$1001,,)=0,"",_xlfn.XLOOKUP(C621,customers!$A$2:$A$1001,customers!$C$2:$C$1001,,))</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cm="1">
        <f t="array" ref="N621">_xlfn.IFS(I621="Rob","Robusta",I621="Exc","Excelsa",I621="Ara","Arabica",I621="Lib","Liberica")</f>
        <v>Liberica</v>
      </c>
      <c r="O621" t="str" cm="1">
        <f t="array" ref="O621">_xlfn.IFS(J621="M","Medium",J621="L","Light",J621="D","Dark")</f>
        <v>Dark</v>
      </c>
      <c r="P621" t="str">
        <f>_xlfn.XLOOKUP(Orders[[#This Row],[Customer ID]],customers!$A$1:$A$1001,customers!$I$1:$I$1001,,0)</f>
        <v>Yes</v>
      </c>
    </row>
    <row r="622" spans="1:16" x14ac:dyDescent="0.25">
      <c r="A622" s="2" t="s">
        <v>3990</v>
      </c>
      <c r="B622" s="3">
        <v>44217</v>
      </c>
      <c r="C622" s="2" t="s">
        <v>4042</v>
      </c>
      <c r="D622" t="s">
        <v>6152</v>
      </c>
      <c r="E622" s="2">
        <v>6</v>
      </c>
      <c r="F622" s="2" t="str">
        <f>_xlfn.XLOOKUP(orders!C622,customers!$A$2:$A$1001,customers!$B$2:$B$1001)</f>
        <v>Linn Alaway</v>
      </c>
      <c r="G622" s="2" t="str">
        <f>IF(_xlfn.XLOOKUP(C622,customers!$A$2:$A$1001,customers!$C$2:$C$1001,,)=0,"",_xlfn.XLOOKUP(C622,customers!$A$2:$A$1001,customers!$C$2:$C$1001,,))</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cm="1">
        <f t="array" ref="N622">_xlfn.IFS(I622="Rob","Robusta",I622="Exc","Excelsa",I622="Ara","Arabica",I622="Lib","Liberica")</f>
        <v>Arabica</v>
      </c>
      <c r="O622" t="str" cm="1">
        <f t="array" ref="O622">_xlfn.IFS(J622="M","Medium",J622="L","Light",J622="D","Dark")</f>
        <v>Medium</v>
      </c>
      <c r="P622" t="str">
        <f>_xlfn.XLOOKUP(Orders[[#This Row],[Customer ID]],customers!$A$1:$A$1001,customers!$I$1:$I$1001,,0)</f>
        <v>No</v>
      </c>
    </row>
    <row r="623" spans="1:16" x14ac:dyDescent="0.25">
      <c r="A623" s="2" t="s">
        <v>3996</v>
      </c>
      <c r="B623" s="3">
        <v>44006</v>
      </c>
      <c r="C623" s="2" t="s">
        <v>3997</v>
      </c>
      <c r="D623" t="s">
        <v>6140</v>
      </c>
      <c r="E623" s="2">
        <v>6</v>
      </c>
      <c r="F623" s="2" t="str">
        <f>_xlfn.XLOOKUP(orders!C623,customers!$A$2:$A$1001,customers!$B$2:$B$1001)</f>
        <v>Cordy Odgaard</v>
      </c>
      <c r="G623" s="2" t="str">
        <f>IF(_xlfn.XLOOKUP(C623,customers!$A$2:$A$1001,customers!$C$2:$C$1001,,)=0,"",_xlfn.XLOOKUP(C623,customers!$A$2:$A$1001,customers!$C$2:$C$1001,,))</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cm="1">
        <f t="array" ref="N623">_xlfn.IFS(I623="Rob","Robusta",I623="Exc","Excelsa",I623="Ara","Arabica",I623="Lib","Liberica")</f>
        <v>Arabica</v>
      </c>
      <c r="O623" t="str" cm="1">
        <f t="array" ref="O623">_xlfn.IFS(J623="M","Medium",J623="L","Light",J623="D","Dark")</f>
        <v>Light</v>
      </c>
      <c r="P623" t="str">
        <f>_xlfn.XLOOKUP(Orders[[#This Row],[Customer ID]],customers!$A$1:$A$1001,customers!$I$1:$I$1001,,0)</f>
        <v>No</v>
      </c>
    </row>
    <row r="624" spans="1:16" x14ac:dyDescent="0.25">
      <c r="A624" s="2" t="s">
        <v>4002</v>
      </c>
      <c r="B624" s="3">
        <v>43527</v>
      </c>
      <c r="C624" s="2" t="s">
        <v>4003</v>
      </c>
      <c r="D624" t="s">
        <v>6181</v>
      </c>
      <c r="E624" s="2">
        <v>4</v>
      </c>
      <c r="F624" s="2" t="str">
        <f>_xlfn.XLOOKUP(orders!C624,customers!$A$2:$A$1001,customers!$B$2:$B$1001)</f>
        <v>Bertine Byrd</v>
      </c>
      <c r="G624" s="2" t="str">
        <f>IF(_xlfn.XLOOKUP(C624,customers!$A$2:$A$1001,customers!$C$2:$C$1001,,)=0,"",_xlfn.XLOOKUP(C624,customers!$A$2:$A$1001,customers!$C$2:$C$1001,,))</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cm="1">
        <f t="array" ref="N624">_xlfn.IFS(I624="Rob","Robusta",I624="Exc","Excelsa",I624="Ara","Arabica",I624="Lib","Liberica")</f>
        <v>Liberica</v>
      </c>
      <c r="O624" t="str" cm="1">
        <f t="array" ref="O624">_xlfn.IFS(J624="M","Medium",J624="L","Light",J624="D","Dark")</f>
        <v>Medium</v>
      </c>
      <c r="P624" t="str">
        <f>_xlfn.XLOOKUP(Orders[[#This Row],[Customer ID]],customers!$A$1:$A$1001,customers!$I$1:$I$1001,,0)</f>
        <v>No</v>
      </c>
    </row>
    <row r="625" spans="1:16" x14ac:dyDescent="0.25">
      <c r="A625" s="2" t="s">
        <v>4007</v>
      </c>
      <c r="B625" s="3">
        <v>44224</v>
      </c>
      <c r="C625" s="2" t="s">
        <v>4008</v>
      </c>
      <c r="D625" t="s">
        <v>6183</v>
      </c>
      <c r="E625" s="2">
        <v>1</v>
      </c>
      <c r="F625" s="2" t="str">
        <f>_xlfn.XLOOKUP(orders!C625,customers!$A$2:$A$1001,customers!$B$2:$B$1001)</f>
        <v>Nelie Garnson</v>
      </c>
      <c r="G625" s="2" t="str">
        <f>IF(_xlfn.XLOOKUP(C625,customers!$A$2:$A$1001,customers!$C$2:$C$1001,,)=0,"",_xlfn.XLOOKUP(C625,customers!$A$2:$A$1001,customers!$C$2:$C$1001,,))</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cm="1">
        <f t="array" ref="N625">_xlfn.IFS(I625="Rob","Robusta",I625="Exc","Excelsa",I625="Ara","Arabica",I625="Lib","Liberica")</f>
        <v>Excelsa</v>
      </c>
      <c r="O625" t="str" cm="1">
        <f t="array" ref="O625">_xlfn.IFS(J625="M","Medium",J625="L","Light",J625="D","Dark")</f>
        <v>Dark</v>
      </c>
      <c r="P625" t="str">
        <f>_xlfn.XLOOKUP(Orders[[#This Row],[Customer ID]],customers!$A$1:$A$1001,customers!$I$1:$I$1001,,0)</f>
        <v>No</v>
      </c>
    </row>
    <row r="626" spans="1:16" x14ac:dyDescent="0.25">
      <c r="A626" s="2" t="s">
        <v>4012</v>
      </c>
      <c r="B626" s="3">
        <v>44010</v>
      </c>
      <c r="C626" s="2" t="s">
        <v>4013</v>
      </c>
      <c r="D626" t="s">
        <v>6166</v>
      </c>
      <c r="E626" s="2">
        <v>2</v>
      </c>
      <c r="F626" s="2" t="str">
        <f>_xlfn.XLOOKUP(orders!C626,customers!$A$2:$A$1001,customers!$B$2:$B$1001)</f>
        <v>Dianne Chardin</v>
      </c>
      <c r="G626" s="2" t="str">
        <f>IF(_xlfn.XLOOKUP(C626,customers!$A$2:$A$1001,customers!$C$2:$C$1001,,)=0,"",_xlfn.XLOOKUP(C626,customers!$A$2:$A$1001,customers!$C$2:$C$1001,,))</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cm="1">
        <f t="array" ref="N626">_xlfn.IFS(I626="Rob","Robusta",I626="Exc","Excelsa",I626="Ara","Arabica",I626="Lib","Liberica")</f>
        <v>Excelsa</v>
      </c>
      <c r="O626" t="str" cm="1">
        <f t="array" ref="O626">_xlfn.IFS(J626="M","Medium",J626="L","Light",J626="D","Dark")</f>
        <v>Medium</v>
      </c>
      <c r="P626" t="str">
        <f>_xlfn.XLOOKUP(Orders[[#This Row],[Customer ID]],customers!$A$1:$A$1001,customers!$I$1:$I$1001,,0)</f>
        <v>Yes</v>
      </c>
    </row>
    <row r="627" spans="1:16" x14ac:dyDescent="0.25">
      <c r="A627" s="2" t="s">
        <v>4017</v>
      </c>
      <c r="B627" s="3">
        <v>44017</v>
      </c>
      <c r="C627" s="2" t="s">
        <v>4018</v>
      </c>
      <c r="D627" t="s">
        <v>6173</v>
      </c>
      <c r="E627" s="2">
        <v>5</v>
      </c>
      <c r="F627" s="2" t="str">
        <f>_xlfn.XLOOKUP(orders!C627,customers!$A$2:$A$1001,customers!$B$2:$B$1001)</f>
        <v>Hailee Radbone</v>
      </c>
      <c r="G627" s="2" t="str">
        <f>IF(_xlfn.XLOOKUP(C627,customers!$A$2:$A$1001,customers!$C$2:$C$1001,,)=0,"",_xlfn.XLOOKUP(C627,customers!$A$2:$A$1001,customers!$C$2:$C$1001,,))</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cm="1">
        <f t="array" ref="N627">_xlfn.IFS(I627="Rob","Robusta",I627="Exc","Excelsa",I627="Ara","Arabica",I627="Lib","Liberica")</f>
        <v>Robusta</v>
      </c>
      <c r="O627" t="str" cm="1">
        <f t="array" ref="O627">_xlfn.IFS(J627="M","Medium",J627="L","Light",J627="D","Dark")</f>
        <v>Light</v>
      </c>
      <c r="P627" t="str">
        <f>_xlfn.XLOOKUP(Orders[[#This Row],[Customer ID]],customers!$A$1:$A$1001,customers!$I$1:$I$1001,,0)</f>
        <v>No</v>
      </c>
    </row>
    <row r="628" spans="1:16" x14ac:dyDescent="0.25">
      <c r="A628" s="2" t="s">
        <v>4023</v>
      </c>
      <c r="B628" s="3">
        <v>43526</v>
      </c>
      <c r="C628" s="2" t="s">
        <v>4024</v>
      </c>
      <c r="D628" t="s">
        <v>6175</v>
      </c>
      <c r="E628" s="2">
        <v>3</v>
      </c>
      <c r="F628" s="2" t="str">
        <f>_xlfn.XLOOKUP(orders!C628,customers!$A$2:$A$1001,customers!$B$2:$B$1001)</f>
        <v>Wallis Bernth</v>
      </c>
      <c r="G628" s="2" t="str">
        <f>IF(_xlfn.XLOOKUP(C628,customers!$A$2:$A$1001,customers!$C$2:$C$1001,,)=0,"",_xlfn.XLOOKUP(C628,customers!$A$2:$A$1001,customers!$C$2:$C$1001,,))</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cm="1">
        <f t="array" ref="N628">_xlfn.IFS(I628="Rob","Robusta",I628="Exc","Excelsa",I628="Ara","Arabica",I628="Lib","Liberica")</f>
        <v>Arabica</v>
      </c>
      <c r="O628" t="str" cm="1">
        <f t="array" ref="O628">_xlfn.IFS(J628="M","Medium",J628="L","Light",J628="D","Dark")</f>
        <v>Medium</v>
      </c>
      <c r="P628" t="str">
        <f>_xlfn.XLOOKUP(Orders[[#This Row],[Customer ID]],customers!$A$1:$A$1001,customers!$I$1:$I$1001,,0)</f>
        <v>No</v>
      </c>
    </row>
    <row r="629" spans="1:16" x14ac:dyDescent="0.25">
      <c r="A629" s="2" t="s">
        <v>4029</v>
      </c>
      <c r="B629" s="3">
        <v>44682</v>
      </c>
      <c r="C629" s="2" t="s">
        <v>4030</v>
      </c>
      <c r="D629" t="s">
        <v>6166</v>
      </c>
      <c r="E629" s="2">
        <v>2</v>
      </c>
      <c r="F629" s="2" t="str">
        <f>_xlfn.XLOOKUP(orders!C629,customers!$A$2:$A$1001,customers!$B$2:$B$1001)</f>
        <v>Byron Acarson</v>
      </c>
      <c r="G629" s="2" t="str">
        <f>IF(_xlfn.XLOOKUP(C629,customers!$A$2:$A$1001,customers!$C$2:$C$1001,,)=0,"",_xlfn.XLOOKUP(C629,customers!$A$2:$A$1001,customers!$C$2:$C$1001,,))</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cm="1">
        <f t="array" ref="N629">_xlfn.IFS(I629="Rob","Robusta",I629="Exc","Excelsa",I629="Ara","Arabica",I629="Lib","Liberica")</f>
        <v>Excelsa</v>
      </c>
      <c r="O629" t="str" cm="1">
        <f t="array" ref="O629">_xlfn.IFS(J629="M","Medium",J629="L","Light",J629="D","Dark")</f>
        <v>Medium</v>
      </c>
      <c r="P629" t="str">
        <f>_xlfn.XLOOKUP(Orders[[#This Row],[Customer ID]],customers!$A$1:$A$1001,customers!$I$1:$I$1001,,0)</f>
        <v>Yes</v>
      </c>
    </row>
    <row r="630" spans="1:16" x14ac:dyDescent="0.25">
      <c r="A630" s="2" t="s">
        <v>4035</v>
      </c>
      <c r="B630" s="3">
        <v>44680</v>
      </c>
      <c r="C630" s="2" t="s">
        <v>4036</v>
      </c>
      <c r="D630" t="s">
        <v>6184</v>
      </c>
      <c r="E630" s="2">
        <v>6</v>
      </c>
      <c r="F630" s="2" t="str">
        <f>_xlfn.XLOOKUP(orders!C630,customers!$A$2:$A$1001,customers!$B$2:$B$1001)</f>
        <v>Faunie Brigham</v>
      </c>
      <c r="G630" s="2" t="str">
        <f>IF(_xlfn.XLOOKUP(C630,customers!$A$2:$A$1001,customers!$C$2:$C$1001,,)=0,"",_xlfn.XLOOKUP(C630,customers!$A$2:$A$1001,customers!$C$2:$C$1001,,))</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cm="1">
        <f t="array" ref="N630">_xlfn.IFS(I630="Rob","Robusta",I630="Exc","Excelsa",I630="Ara","Arabica",I630="Lib","Liberica")</f>
        <v>Excelsa</v>
      </c>
      <c r="O630" t="str" cm="1">
        <f t="array" ref="O630">_xlfn.IFS(J630="M","Medium",J630="L","Light",J630="D","Dark")</f>
        <v>Light</v>
      </c>
      <c r="P630" t="str">
        <f>_xlfn.XLOOKUP(Orders[[#This Row],[Customer ID]],customers!$A$1:$A$1001,customers!$I$1:$I$1001,,0)</f>
        <v>Yes</v>
      </c>
    </row>
    <row r="631" spans="1:16" x14ac:dyDescent="0.25">
      <c r="A631" s="2" t="s">
        <v>4035</v>
      </c>
      <c r="B631" s="3">
        <v>44680</v>
      </c>
      <c r="C631" s="2" t="s">
        <v>4036</v>
      </c>
      <c r="D631" t="s">
        <v>6169</v>
      </c>
      <c r="E631" s="2">
        <v>4</v>
      </c>
      <c r="F631" s="2" t="str">
        <f>_xlfn.XLOOKUP(orders!C631,customers!$A$2:$A$1001,customers!$B$2:$B$1001)</f>
        <v>Faunie Brigham</v>
      </c>
      <c r="G631" s="2" t="str">
        <f>IF(_xlfn.XLOOKUP(C631,customers!$A$2:$A$1001,customers!$C$2:$C$1001,,)=0,"",_xlfn.XLOOKUP(C631,customers!$A$2:$A$1001,customers!$C$2:$C$1001,,))</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cm="1">
        <f t="array" ref="N631">_xlfn.IFS(I631="Rob","Robusta",I631="Exc","Excelsa",I631="Ara","Arabica",I631="Lib","Liberica")</f>
        <v>Liberica</v>
      </c>
      <c r="O631" t="str" cm="1">
        <f t="array" ref="O631">_xlfn.IFS(J631="M","Medium",J631="L","Light",J631="D","Dark")</f>
        <v>Dark</v>
      </c>
      <c r="P631" t="str">
        <f>_xlfn.XLOOKUP(Orders[[#This Row],[Customer ID]],customers!$A$1:$A$1001,customers!$I$1:$I$1001,,0)</f>
        <v>Yes</v>
      </c>
    </row>
    <row r="632" spans="1:16" x14ac:dyDescent="0.25">
      <c r="A632" s="2" t="s">
        <v>4035</v>
      </c>
      <c r="B632" s="3">
        <v>44680</v>
      </c>
      <c r="C632" s="2" t="s">
        <v>4036</v>
      </c>
      <c r="D632" t="s">
        <v>6154</v>
      </c>
      <c r="E632" s="2">
        <v>1</v>
      </c>
      <c r="F632" s="2" t="str">
        <f>_xlfn.XLOOKUP(orders!C632,customers!$A$2:$A$1001,customers!$B$2:$B$1001)</f>
        <v>Faunie Brigham</v>
      </c>
      <c r="G632" s="2" t="str">
        <f>IF(_xlfn.XLOOKUP(C632,customers!$A$2:$A$1001,customers!$C$2:$C$1001,,)=0,"",_xlfn.XLOOKUP(C632,customers!$A$2:$A$1001,customers!$C$2:$C$1001,,))</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cm="1">
        <f t="array" ref="N632">_xlfn.IFS(I632="Rob","Robusta",I632="Exc","Excelsa",I632="Ara","Arabica",I632="Lib","Liberica")</f>
        <v>Arabica</v>
      </c>
      <c r="O632" t="str" cm="1">
        <f t="array" ref="O632">_xlfn.IFS(J632="M","Medium",J632="L","Light",J632="D","Dark")</f>
        <v>Dark</v>
      </c>
      <c r="P632" t="str">
        <f>_xlfn.XLOOKUP(Orders[[#This Row],[Customer ID]],customers!$A$1:$A$1001,customers!$I$1:$I$1001,,0)</f>
        <v>Yes</v>
      </c>
    </row>
    <row r="633" spans="1:16" x14ac:dyDescent="0.25">
      <c r="A633" s="2" t="s">
        <v>4035</v>
      </c>
      <c r="B633" s="3">
        <v>44680</v>
      </c>
      <c r="C633" s="2" t="s">
        <v>4036</v>
      </c>
      <c r="D633" t="s">
        <v>6149</v>
      </c>
      <c r="E633" s="2">
        <v>5</v>
      </c>
      <c r="F633" s="2" t="str">
        <f>_xlfn.XLOOKUP(orders!C633,customers!$A$2:$A$1001,customers!$B$2:$B$1001)</f>
        <v>Faunie Brigham</v>
      </c>
      <c r="G633" s="2" t="str">
        <f>IF(_xlfn.XLOOKUP(C633,customers!$A$2:$A$1001,customers!$C$2:$C$1001,,)=0,"",_xlfn.XLOOKUP(C633,customers!$A$2:$A$1001,customers!$C$2:$C$1001,,))</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cm="1">
        <f t="array" ref="N633">_xlfn.IFS(I633="Rob","Robusta",I633="Exc","Excelsa",I633="Ara","Arabica",I633="Lib","Liberica")</f>
        <v>Robusta</v>
      </c>
      <c r="O633" t="str" cm="1">
        <f t="array" ref="O633">_xlfn.IFS(J633="M","Medium",J633="L","Light",J633="D","Dark")</f>
        <v>Dark</v>
      </c>
      <c r="P633" t="str">
        <f>_xlfn.XLOOKUP(Orders[[#This Row],[Customer ID]],customers!$A$1:$A$1001,customers!$I$1:$I$1001,,0)</f>
        <v>Yes</v>
      </c>
    </row>
    <row r="634" spans="1:16" x14ac:dyDescent="0.25">
      <c r="A634" s="2" t="s">
        <v>4056</v>
      </c>
      <c r="B634" s="3">
        <v>44049</v>
      </c>
      <c r="C634" s="2" t="s">
        <v>4057</v>
      </c>
      <c r="D634" t="s">
        <v>6176</v>
      </c>
      <c r="E634" s="2">
        <v>4</v>
      </c>
      <c r="F634" s="2" t="str">
        <f>_xlfn.XLOOKUP(orders!C634,customers!$A$2:$A$1001,customers!$B$2:$B$1001)</f>
        <v>Marjorie Yoxen</v>
      </c>
      <c r="G634" s="2" t="str">
        <f>IF(_xlfn.XLOOKUP(C634,customers!$A$2:$A$1001,customers!$C$2:$C$1001,,)=0,"",_xlfn.XLOOKUP(C634,customers!$A$2:$A$1001,customers!$C$2:$C$1001,,))</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cm="1">
        <f t="array" ref="N634">_xlfn.IFS(I634="Rob","Robusta",I634="Exc","Excelsa",I634="Ara","Arabica",I634="Lib","Liberica")</f>
        <v>Excelsa</v>
      </c>
      <c r="O634" t="str" cm="1">
        <f t="array" ref="O634">_xlfn.IFS(J634="M","Medium",J634="L","Light",J634="D","Dark")</f>
        <v>Light</v>
      </c>
      <c r="P634" t="str">
        <f>_xlfn.XLOOKUP(Orders[[#This Row],[Customer ID]],customers!$A$1:$A$1001,customers!$I$1:$I$1001,,0)</f>
        <v>No</v>
      </c>
    </row>
    <row r="635" spans="1:16" x14ac:dyDescent="0.25">
      <c r="A635" s="2" t="s">
        <v>4062</v>
      </c>
      <c r="B635" s="3">
        <v>43820</v>
      </c>
      <c r="C635" s="2" t="s">
        <v>4063</v>
      </c>
      <c r="D635" t="s">
        <v>6179</v>
      </c>
      <c r="E635" s="2">
        <v>4</v>
      </c>
      <c r="F635" s="2" t="str">
        <f>_xlfn.XLOOKUP(orders!C635,customers!$A$2:$A$1001,customers!$B$2:$B$1001)</f>
        <v>Gaspar McGavin</v>
      </c>
      <c r="G635" s="2" t="str">
        <f>IF(_xlfn.XLOOKUP(C635,customers!$A$2:$A$1001,customers!$C$2:$C$1001,,)=0,"",_xlfn.XLOOKUP(C635,customers!$A$2:$A$1001,customers!$C$2:$C$1001,,))</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cm="1">
        <f t="array" ref="N635">_xlfn.IFS(I635="Rob","Robusta",I635="Exc","Excelsa",I635="Ara","Arabica",I635="Lib","Liberica")</f>
        <v>Robusta</v>
      </c>
      <c r="O635" t="str" cm="1">
        <f t="array" ref="O635">_xlfn.IFS(J635="M","Medium",J635="L","Light",J635="D","Dark")</f>
        <v>Light</v>
      </c>
      <c r="P635" t="str">
        <f>_xlfn.XLOOKUP(Orders[[#This Row],[Customer ID]],customers!$A$1:$A$1001,customers!$I$1:$I$1001,,0)</f>
        <v>No</v>
      </c>
    </row>
    <row r="636" spans="1:16" x14ac:dyDescent="0.25">
      <c r="A636" s="2" t="s">
        <v>4068</v>
      </c>
      <c r="B636" s="3">
        <v>43940</v>
      </c>
      <c r="C636" s="2" t="s">
        <v>4069</v>
      </c>
      <c r="D636" t="s">
        <v>6162</v>
      </c>
      <c r="E636" s="2">
        <v>3</v>
      </c>
      <c r="F636" s="2" t="str">
        <f>_xlfn.XLOOKUP(orders!C636,customers!$A$2:$A$1001,customers!$B$2:$B$1001)</f>
        <v>Lindy Uttermare</v>
      </c>
      <c r="G636" s="2" t="str">
        <f>IF(_xlfn.XLOOKUP(C636,customers!$A$2:$A$1001,customers!$C$2:$C$1001,,)=0,"",_xlfn.XLOOKUP(C636,customers!$A$2:$A$1001,customers!$C$2:$C$1001,,))</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cm="1">
        <f t="array" ref="N636">_xlfn.IFS(I636="Rob","Robusta",I636="Exc","Excelsa",I636="Ara","Arabica",I636="Lib","Liberica")</f>
        <v>Liberica</v>
      </c>
      <c r="O636" t="str" cm="1">
        <f t="array" ref="O636">_xlfn.IFS(J636="M","Medium",J636="L","Light",J636="D","Dark")</f>
        <v>Medium</v>
      </c>
      <c r="P636" t="str">
        <f>_xlfn.XLOOKUP(Orders[[#This Row],[Customer ID]],customers!$A$1:$A$1001,customers!$I$1:$I$1001,,0)</f>
        <v>No</v>
      </c>
    </row>
    <row r="637" spans="1:16" x14ac:dyDescent="0.25">
      <c r="A637" s="2" t="s">
        <v>4074</v>
      </c>
      <c r="B637" s="3">
        <v>44578</v>
      </c>
      <c r="C637" s="2" t="s">
        <v>4075</v>
      </c>
      <c r="D637" t="s">
        <v>6176</v>
      </c>
      <c r="E637" s="2">
        <v>4</v>
      </c>
      <c r="F637" s="2" t="str">
        <f>_xlfn.XLOOKUP(orders!C637,customers!$A$2:$A$1001,customers!$B$2:$B$1001)</f>
        <v>Eal D'Ambrogio</v>
      </c>
      <c r="G637" s="2" t="str">
        <f>IF(_xlfn.XLOOKUP(C637,customers!$A$2:$A$1001,customers!$C$2:$C$1001,,)=0,"",_xlfn.XLOOKUP(C637,customers!$A$2:$A$1001,customers!$C$2:$C$1001,,))</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cm="1">
        <f t="array" ref="N637">_xlfn.IFS(I637="Rob","Robusta",I637="Exc","Excelsa",I637="Ara","Arabica",I637="Lib","Liberica")</f>
        <v>Excelsa</v>
      </c>
      <c r="O637" t="str" cm="1">
        <f t="array" ref="O637">_xlfn.IFS(J637="M","Medium",J637="L","Light",J637="D","Dark")</f>
        <v>Light</v>
      </c>
      <c r="P637" t="str">
        <f>_xlfn.XLOOKUP(Orders[[#This Row],[Customer ID]],customers!$A$1:$A$1001,customers!$I$1:$I$1001,,0)</f>
        <v>Yes</v>
      </c>
    </row>
    <row r="638" spans="1:16" x14ac:dyDescent="0.25">
      <c r="A638" s="2" t="s">
        <v>4080</v>
      </c>
      <c r="B638" s="3">
        <v>43487</v>
      </c>
      <c r="C638" s="2" t="s">
        <v>4081</v>
      </c>
      <c r="D638" t="s">
        <v>6170</v>
      </c>
      <c r="E638" s="2">
        <v>6</v>
      </c>
      <c r="F638" s="2" t="str">
        <f>_xlfn.XLOOKUP(orders!C638,customers!$A$2:$A$1001,customers!$B$2:$B$1001)</f>
        <v>Carolee Winchcombe</v>
      </c>
      <c r="G638" s="2" t="str">
        <f>IF(_xlfn.XLOOKUP(C638,customers!$A$2:$A$1001,customers!$C$2:$C$1001,,)=0,"",_xlfn.XLOOKUP(C638,customers!$A$2:$A$1001,customers!$C$2:$C$1001,,))</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cm="1">
        <f t="array" ref="N638">_xlfn.IFS(I638="Rob","Robusta",I638="Exc","Excelsa",I638="Ara","Arabica",I638="Lib","Liberica")</f>
        <v>Liberica</v>
      </c>
      <c r="O638" t="str" cm="1">
        <f t="array" ref="O638">_xlfn.IFS(J638="M","Medium",J638="L","Light",J638="D","Dark")</f>
        <v>Light</v>
      </c>
      <c r="P638" t="str">
        <f>_xlfn.XLOOKUP(Orders[[#This Row],[Customer ID]],customers!$A$1:$A$1001,customers!$I$1:$I$1001,,0)</f>
        <v>Yes</v>
      </c>
    </row>
    <row r="639" spans="1:16" x14ac:dyDescent="0.25">
      <c r="A639" s="2" t="s">
        <v>4086</v>
      </c>
      <c r="B639" s="3">
        <v>43889</v>
      </c>
      <c r="C639" s="2" t="s">
        <v>4087</v>
      </c>
      <c r="D639" t="s">
        <v>6166</v>
      </c>
      <c r="E639" s="2">
        <v>1</v>
      </c>
      <c r="F639" s="2" t="str">
        <f>_xlfn.XLOOKUP(orders!C639,customers!$A$2:$A$1001,customers!$B$2:$B$1001)</f>
        <v>Benedikta Paumier</v>
      </c>
      <c r="G639" s="2" t="str">
        <f>IF(_xlfn.XLOOKUP(C639,customers!$A$2:$A$1001,customers!$C$2:$C$1001,,)=0,"",_xlfn.XLOOKUP(C639,customers!$A$2:$A$1001,customers!$C$2:$C$1001,,))</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cm="1">
        <f t="array" ref="N639">_xlfn.IFS(I639="Rob","Robusta",I639="Exc","Excelsa",I639="Ara","Arabica",I639="Lib","Liberica")</f>
        <v>Excelsa</v>
      </c>
      <c r="O639" t="str" cm="1">
        <f t="array" ref="O639">_xlfn.IFS(J639="M","Medium",J639="L","Light",J639="D","Dark")</f>
        <v>Medium</v>
      </c>
      <c r="P639" t="str">
        <f>_xlfn.XLOOKUP(Orders[[#This Row],[Customer ID]],customers!$A$1:$A$1001,customers!$I$1:$I$1001,,0)</f>
        <v>Yes</v>
      </c>
    </row>
    <row r="640" spans="1:16" x14ac:dyDescent="0.25">
      <c r="A640" s="2" t="s">
        <v>4093</v>
      </c>
      <c r="B640" s="3">
        <v>43684</v>
      </c>
      <c r="C640" s="2" t="s">
        <v>4094</v>
      </c>
      <c r="D640" t="s">
        <v>6175</v>
      </c>
      <c r="E640" s="2">
        <v>3</v>
      </c>
      <c r="F640" s="2" t="str">
        <f>_xlfn.XLOOKUP(orders!C640,customers!$A$2:$A$1001,customers!$B$2:$B$1001)</f>
        <v>Neville Piatto</v>
      </c>
      <c r="G640" s="2" t="str">
        <f>IF(_xlfn.XLOOKUP(C640,customers!$A$2:$A$1001,customers!$C$2:$C$1001,,)=0,"",_xlfn.XLOOKUP(C640,customers!$A$2:$A$1001,customers!$C$2:$C$1001,,))</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cm="1">
        <f t="array" ref="N640">_xlfn.IFS(I640="Rob","Robusta",I640="Exc","Excelsa",I640="Ara","Arabica",I640="Lib","Liberica")</f>
        <v>Arabica</v>
      </c>
      <c r="O640" t="str" cm="1">
        <f t="array" ref="O640">_xlfn.IFS(J640="M","Medium",J640="L","Light",J640="D","Dark")</f>
        <v>Medium</v>
      </c>
      <c r="P640" t="str">
        <f>_xlfn.XLOOKUP(Orders[[#This Row],[Customer ID]],customers!$A$1:$A$1001,customers!$I$1:$I$1001,,0)</f>
        <v>Yes</v>
      </c>
    </row>
    <row r="641" spans="1:16" x14ac:dyDescent="0.25">
      <c r="A641" s="2" t="s">
        <v>4098</v>
      </c>
      <c r="B641" s="3">
        <v>44331</v>
      </c>
      <c r="C641" s="2" t="s">
        <v>4099</v>
      </c>
      <c r="D641" t="s">
        <v>6150</v>
      </c>
      <c r="E641" s="2">
        <v>1</v>
      </c>
      <c r="F641" s="2" t="str">
        <f>_xlfn.XLOOKUP(orders!C641,customers!$A$2:$A$1001,customers!$B$2:$B$1001)</f>
        <v>Jeno Capey</v>
      </c>
      <c r="G641" s="2" t="str">
        <f>IF(_xlfn.XLOOKUP(C641,customers!$A$2:$A$1001,customers!$C$2:$C$1001,,)=0,"",_xlfn.XLOOKUP(C641,customers!$A$2:$A$1001,customers!$C$2:$C$1001,,))</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cm="1">
        <f t="array" ref="N641">_xlfn.IFS(I641="Rob","Robusta",I641="Exc","Excelsa",I641="Ara","Arabica",I641="Lib","Liberica")</f>
        <v>Liberica</v>
      </c>
      <c r="O641" t="str" cm="1">
        <f t="array" ref="O641">_xlfn.IFS(J641="M","Medium",J641="L","Light",J641="D","Dark")</f>
        <v>Dark</v>
      </c>
      <c r="P641" t="str">
        <f>_xlfn.XLOOKUP(Orders[[#This Row],[Customer ID]],customers!$A$1:$A$1001,customers!$I$1:$I$1001,,0)</f>
        <v>Yes</v>
      </c>
    </row>
    <row r="642" spans="1:16" x14ac:dyDescent="0.25">
      <c r="A642" s="2" t="s">
        <v>4104</v>
      </c>
      <c r="B642" s="3">
        <v>44547</v>
      </c>
      <c r="C642" s="2" t="s">
        <v>4152</v>
      </c>
      <c r="D642" t="s">
        <v>6142</v>
      </c>
      <c r="E642" s="2">
        <v>5</v>
      </c>
      <c r="F642" s="2" t="str">
        <f>_xlfn.XLOOKUP(orders!C642,customers!$A$2:$A$1001,customers!$B$2:$B$1001)</f>
        <v>Tuckie Mathonnet</v>
      </c>
      <c r="G642" s="2" t="str">
        <f>IF(_xlfn.XLOOKUP(C642,customers!$A$2:$A$1001,customers!$C$2:$C$1001,,)=0,"",_xlfn.XLOOKUP(C642,customers!$A$2:$A$1001,customers!$C$2:$C$1001,,))</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cm="1">
        <f t="array" ref="N642">_xlfn.IFS(I642="Rob","Robusta",I642="Exc","Excelsa",I642="Ara","Arabica",I642="Lib","Liberica")</f>
        <v>Robusta</v>
      </c>
      <c r="O642" t="str" cm="1">
        <f t="array" ref="O642">_xlfn.IFS(J642="M","Medium",J642="L","Light",J642="D","Dark")</f>
        <v>Light</v>
      </c>
      <c r="P642" t="str">
        <f>_xlfn.XLOOKUP(Orders[[#This Row],[Customer ID]],customers!$A$1:$A$1001,customers!$I$1:$I$1001,,0)</f>
        <v>No</v>
      </c>
    </row>
    <row r="643" spans="1:16" x14ac:dyDescent="0.25">
      <c r="A643" s="2" t="s">
        <v>4109</v>
      </c>
      <c r="B643" s="3">
        <v>44448</v>
      </c>
      <c r="C643" s="2" t="s">
        <v>4110</v>
      </c>
      <c r="D643" t="s">
        <v>6179</v>
      </c>
      <c r="E643" s="2">
        <v>3</v>
      </c>
      <c r="F643" s="2" t="str">
        <f>_xlfn.XLOOKUP(orders!C643,customers!$A$2:$A$1001,customers!$B$2:$B$1001)</f>
        <v>Yardley Basill</v>
      </c>
      <c r="G643" s="2" t="str">
        <f>IF(_xlfn.XLOOKUP(C643,customers!$A$2:$A$1001,customers!$C$2:$C$1001,,)=0,"",_xlfn.XLOOKUP(C643,customers!$A$2:$A$1001,customers!$C$2:$C$1001,,))</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L643*E643</f>
        <v>35.849999999999994</v>
      </c>
      <c r="N643" t="str" cm="1">
        <f t="array" ref="N643">_xlfn.IFS(I643="Rob","Robusta",I643="Exc","Excelsa",I643="Ara","Arabica",I643="Lib","Liberica")</f>
        <v>Robusta</v>
      </c>
      <c r="O643" t="str" cm="1">
        <f t="array" ref="O643">_xlfn.IFS(J643="M","Medium",J643="L","Light",J643="D","Dark")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_xlfn.XLOOKUP(orders!C644,customers!$A$2:$A$1001,customers!$B$2:$B$1001)</f>
        <v>Maggy Baistow</v>
      </c>
      <c r="G644" s="2" t="str">
        <f>IF(_xlfn.XLOOKUP(C644,customers!$A$2:$A$1001,customers!$C$2:$C$1001,,)=0,"",_xlfn.XLOOKUP(C644,customers!$A$2:$A$1001,customers!$C$2:$C$1001,,))</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cm="1">
        <f t="array" ref="N644">_xlfn.IFS(I644="Rob","Robusta",I644="Exc","Excelsa",I644="Ara","Arabica",I644="Lib","Liberica")</f>
        <v>Excelsa</v>
      </c>
      <c r="O644" t="str" cm="1">
        <f t="array" ref="O644">_xlfn.IFS(J644="M","Medium",J644="L","Light",J644="D","Dark")</f>
        <v>Medium</v>
      </c>
      <c r="P644" t="str">
        <f>_xlfn.XLOOKUP(Orders[[#This Row],[Customer ID]],customers!$A$1:$A$1001,customers!$I$1:$I$1001,,0)</f>
        <v>Yes</v>
      </c>
    </row>
    <row r="645" spans="1:16" x14ac:dyDescent="0.25">
      <c r="A645" s="2" t="s">
        <v>4123</v>
      </c>
      <c r="B645" s="3">
        <v>44011</v>
      </c>
      <c r="C645" s="2" t="s">
        <v>4124</v>
      </c>
      <c r="D645" t="s">
        <v>6148</v>
      </c>
      <c r="E645" s="2">
        <v>3</v>
      </c>
      <c r="F645" s="2" t="str">
        <f>_xlfn.XLOOKUP(orders!C645,customers!$A$2:$A$1001,customers!$B$2:$B$1001)</f>
        <v>Courtney Pallant</v>
      </c>
      <c r="G645" s="2" t="str">
        <f>IF(_xlfn.XLOOKUP(C645,customers!$A$2:$A$1001,customers!$C$2:$C$1001,,)=0,"",_xlfn.XLOOKUP(C645,customers!$A$2:$A$1001,customers!$C$2:$C$1001,,))</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cm="1">
        <f t="array" ref="N645">_xlfn.IFS(I645="Rob","Robusta",I645="Exc","Excelsa",I645="Ara","Arabica",I645="Lib","Liberica")</f>
        <v>Excelsa</v>
      </c>
      <c r="O645" t="str" cm="1">
        <f t="array" ref="O645">_xlfn.IFS(J645="M","Medium",J645="L","Light",J645="D","Dark")</f>
        <v>Light</v>
      </c>
      <c r="P645" t="str">
        <f>_xlfn.XLOOKUP(Orders[[#This Row],[Customer ID]],customers!$A$1:$A$1001,customers!$I$1:$I$1001,,0)</f>
        <v>Yes</v>
      </c>
    </row>
    <row r="646" spans="1:16" x14ac:dyDescent="0.25">
      <c r="A646" s="2" t="s">
        <v>4128</v>
      </c>
      <c r="B646" s="3">
        <v>44694</v>
      </c>
      <c r="C646" s="2" t="s">
        <v>4129</v>
      </c>
      <c r="D646" t="s">
        <v>6149</v>
      </c>
      <c r="E646" s="2">
        <v>2</v>
      </c>
      <c r="F646" s="2" t="str">
        <f>_xlfn.XLOOKUP(orders!C646,customers!$A$2:$A$1001,customers!$B$2:$B$1001)</f>
        <v>Marne Mingey</v>
      </c>
      <c r="G646" s="2" t="str">
        <f>IF(_xlfn.XLOOKUP(C646,customers!$A$2:$A$1001,customers!$C$2:$C$1001,,)=0,"",_xlfn.XLOOKUP(C646,customers!$A$2:$A$1001,customers!$C$2:$C$1001,,))</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cm="1">
        <f t="array" ref="N646">_xlfn.IFS(I646="Rob","Robusta",I646="Exc","Excelsa",I646="Ara","Arabica",I646="Lib","Liberica")</f>
        <v>Robusta</v>
      </c>
      <c r="O646" t="str" cm="1">
        <f t="array" ref="O646">_xlfn.IFS(J646="M","Medium",J646="L","Light",J646="D","Dark")</f>
        <v>Dark</v>
      </c>
      <c r="P646" t="str">
        <f>_xlfn.XLOOKUP(Orders[[#This Row],[Customer ID]],customers!$A$1:$A$1001,customers!$I$1:$I$1001,,0)</f>
        <v>No</v>
      </c>
    </row>
    <row r="647" spans="1:16" x14ac:dyDescent="0.25">
      <c r="A647" s="2" t="s">
        <v>4133</v>
      </c>
      <c r="B647" s="3">
        <v>44106</v>
      </c>
      <c r="C647" s="2" t="s">
        <v>4134</v>
      </c>
      <c r="D647" t="s">
        <v>6168</v>
      </c>
      <c r="E647" s="2">
        <v>3</v>
      </c>
      <c r="F647" s="2" t="str">
        <f>_xlfn.XLOOKUP(orders!C647,customers!$A$2:$A$1001,customers!$B$2:$B$1001)</f>
        <v>Denny O' Ronan</v>
      </c>
      <c r="G647" s="2" t="str">
        <f>IF(_xlfn.XLOOKUP(C647,customers!$A$2:$A$1001,customers!$C$2:$C$1001,,)=0,"",_xlfn.XLOOKUP(C647,customers!$A$2:$A$1001,customers!$C$2:$C$1001,,))</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cm="1">
        <f t="array" ref="N647">_xlfn.IFS(I647="Rob","Robusta",I647="Exc","Excelsa",I647="Ara","Arabica",I647="Lib","Liberica")</f>
        <v>Arabica</v>
      </c>
      <c r="O647" t="str" cm="1">
        <f t="array" ref="O647">_xlfn.IFS(J647="M","Medium",J647="L","Light",J647="D","Dark")</f>
        <v>Dark</v>
      </c>
      <c r="P647" t="str">
        <f>_xlfn.XLOOKUP(Orders[[#This Row],[Customer ID]],customers!$A$1:$A$1001,customers!$I$1:$I$1001,,0)</f>
        <v>Yes</v>
      </c>
    </row>
    <row r="648" spans="1:16" x14ac:dyDescent="0.25">
      <c r="A648" s="2" t="s">
        <v>4139</v>
      </c>
      <c r="B648" s="3">
        <v>44532</v>
      </c>
      <c r="C648" s="2" t="s">
        <v>4140</v>
      </c>
      <c r="D648" t="s">
        <v>6147</v>
      </c>
      <c r="E648" s="2">
        <v>1</v>
      </c>
      <c r="F648" s="2" t="str">
        <f>_xlfn.XLOOKUP(orders!C648,customers!$A$2:$A$1001,customers!$B$2:$B$1001)</f>
        <v>Dottie Rallin</v>
      </c>
      <c r="G648" s="2" t="str">
        <f>IF(_xlfn.XLOOKUP(C648,customers!$A$2:$A$1001,customers!$C$2:$C$1001,,)=0,"",_xlfn.XLOOKUP(C648,customers!$A$2:$A$1001,customers!$C$2:$C$1001,,))</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cm="1">
        <f t="array" ref="N648">_xlfn.IFS(I648="Rob","Robusta",I648="Exc","Excelsa",I648="Ara","Arabica",I648="Lib","Liberica")</f>
        <v>Arabica</v>
      </c>
      <c r="O648" t="str" cm="1">
        <f t="array" ref="O648">_xlfn.IFS(J648="M","Medium",J648="L","Light",J648="D","Dark")</f>
        <v>Dark</v>
      </c>
      <c r="P648" t="str">
        <f>_xlfn.XLOOKUP(Orders[[#This Row],[Customer ID]],customers!$A$1:$A$1001,customers!$I$1:$I$1001,,0)</f>
        <v>Yes</v>
      </c>
    </row>
    <row r="649" spans="1:16" x14ac:dyDescent="0.25">
      <c r="A649" s="2" t="s">
        <v>4145</v>
      </c>
      <c r="B649" s="3">
        <v>44502</v>
      </c>
      <c r="C649" s="2" t="s">
        <v>4146</v>
      </c>
      <c r="D649" t="s">
        <v>6161</v>
      </c>
      <c r="E649" s="2">
        <v>3</v>
      </c>
      <c r="F649" s="2" t="str">
        <f>_xlfn.XLOOKUP(orders!C649,customers!$A$2:$A$1001,customers!$B$2:$B$1001)</f>
        <v>Ardith Chill</v>
      </c>
      <c r="G649" s="2" t="str">
        <f>IF(_xlfn.XLOOKUP(C649,customers!$A$2:$A$1001,customers!$C$2:$C$1001,,)=0,"",_xlfn.XLOOKUP(C649,customers!$A$2:$A$1001,customers!$C$2:$C$1001,,))</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cm="1">
        <f t="array" ref="N649">_xlfn.IFS(I649="Rob","Robusta",I649="Exc","Excelsa",I649="Ara","Arabica",I649="Lib","Liberica")</f>
        <v>Liberica</v>
      </c>
      <c r="O649" t="str" cm="1">
        <f t="array" ref="O649">_xlfn.IFS(J649="M","Medium",J649="L","Light",J649="D","Dark")</f>
        <v>Light</v>
      </c>
      <c r="P649" t="str">
        <f>_xlfn.XLOOKUP(Orders[[#This Row],[Customer ID]],customers!$A$1:$A$1001,customers!$I$1:$I$1001,,0)</f>
        <v>Yes</v>
      </c>
    </row>
    <row r="650" spans="1:16" x14ac:dyDescent="0.25">
      <c r="A650" s="2" t="s">
        <v>4151</v>
      </c>
      <c r="B650" s="3">
        <v>43884</v>
      </c>
      <c r="C650" s="2" t="s">
        <v>4152</v>
      </c>
      <c r="D650" t="s">
        <v>6163</v>
      </c>
      <c r="E650" s="2">
        <v>6</v>
      </c>
      <c r="F650" s="2" t="str">
        <f>_xlfn.XLOOKUP(orders!C650,customers!$A$2:$A$1001,customers!$B$2:$B$1001)</f>
        <v>Tuckie Mathonnet</v>
      </c>
      <c r="G650" s="2" t="str">
        <f>IF(_xlfn.XLOOKUP(C650,customers!$A$2:$A$1001,customers!$C$2:$C$1001,,)=0,"",_xlfn.XLOOKUP(C650,customers!$A$2:$A$1001,customers!$C$2:$C$1001,,))</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cm="1">
        <f t="array" ref="N650">_xlfn.IFS(I650="Rob","Robusta",I650="Exc","Excelsa",I650="Ara","Arabica",I650="Lib","Liberica")</f>
        <v>Robusta</v>
      </c>
      <c r="O650" t="str" cm="1">
        <f t="array" ref="O650">_xlfn.IFS(J650="M","Medium",J650="L","Light",J650="D","Dark")</f>
        <v>Dark</v>
      </c>
      <c r="P650" t="str">
        <f>_xlfn.XLOOKUP(Orders[[#This Row],[Customer ID]],customers!$A$1:$A$1001,customers!$I$1:$I$1001,,0)</f>
        <v>No</v>
      </c>
    </row>
    <row r="651" spans="1:16" x14ac:dyDescent="0.25">
      <c r="A651" s="2" t="s">
        <v>4157</v>
      </c>
      <c r="B651" s="3">
        <v>44015</v>
      </c>
      <c r="C651" s="2" t="s">
        <v>4158</v>
      </c>
      <c r="D651" t="s">
        <v>6170</v>
      </c>
      <c r="E651" s="2">
        <v>6</v>
      </c>
      <c r="F651" s="2" t="str">
        <f>_xlfn.XLOOKUP(orders!C651,customers!$A$2:$A$1001,customers!$B$2:$B$1001)</f>
        <v>Charmane Denys</v>
      </c>
      <c r="G651" s="2" t="str">
        <f>IF(_xlfn.XLOOKUP(C651,customers!$A$2:$A$1001,customers!$C$2:$C$1001,,)=0,"",_xlfn.XLOOKUP(C651,customers!$A$2:$A$1001,customers!$C$2:$C$1001,,))</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cm="1">
        <f t="array" ref="N651">_xlfn.IFS(I651="Rob","Robusta",I651="Exc","Excelsa",I651="Ara","Arabica",I651="Lib","Liberica")</f>
        <v>Liberica</v>
      </c>
      <c r="O651" t="str" cm="1">
        <f t="array" ref="O651">_xlfn.IFS(J651="M","Medium",J651="L","Light",J651="D","Dark")</f>
        <v>Light</v>
      </c>
      <c r="P651" t="str">
        <f>_xlfn.XLOOKUP(Orders[[#This Row],[Customer ID]],customers!$A$1:$A$1001,customers!$I$1:$I$1001,,0)</f>
        <v>No</v>
      </c>
    </row>
    <row r="652" spans="1:16" x14ac:dyDescent="0.25">
      <c r="A652" s="2" t="s">
        <v>4163</v>
      </c>
      <c r="B652" s="3">
        <v>43507</v>
      </c>
      <c r="C652" s="2" t="s">
        <v>4164</v>
      </c>
      <c r="D652" t="s">
        <v>6172</v>
      </c>
      <c r="E652" s="2">
        <v>1</v>
      </c>
      <c r="F652" s="2" t="str">
        <f>_xlfn.XLOOKUP(orders!C652,customers!$A$2:$A$1001,customers!$B$2:$B$1001)</f>
        <v>Cecily Stebbings</v>
      </c>
      <c r="G652" s="2" t="str">
        <f>IF(_xlfn.XLOOKUP(C652,customers!$A$2:$A$1001,customers!$C$2:$C$1001,,)=0,"",_xlfn.XLOOKUP(C652,customers!$A$2:$A$1001,customers!$C$2:$C$1001,,))</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cm="1">
        <f t="array" ref="N652">_xlfn.IFS(I652="Rob","Robusta",I652="Exc","Excelsa",I652="Ara","Arabica",I652="Lib","Liberica")</f>
        <v>Robusta</v>
      </c>
      <c r="O652" t="str" cm="1">
        <f t="array" ref="O652">_xlfn.IFS(J652="M","Medium",J652="L","Light",J652="D","Dark")</f>
        <v>Dark</v>
      </c>
      <c r="P652" t="str">
        <f>_xlfn.XLOOKUP(Orders[[#This Row],[Customer ID]],customers!$A$1:$A$1001,customers!$I$1:$I$1001,,0)</f>
        <v>Yes</v>
      </c>
    </row>
    <row r="653" spans="1:16" x14ac:dyDescent="0.25">
      <c r="A653" s="2" t="s">
        <v>4169</v>
      </c>
      <c r="B653" s="3">
        <v>44084</v>
      </c>
      <c r="C653" s="2" t="s">
        <v>4170</v>
      </c>
      <c r="D653" t="s">
        <v>6179</v>
      </c>
      <c r="E653" s="2">
        <v>4</v>
      </c>
      <c r="F653" s="2" t="str">
        <f>_xlfn.XLOOKUP(orders!C653,customers!$A$2:$A$1001,customers!$B$2:$B$1001)</f>
        <v>Giana Tonnesen</v>
      </c>
      <c r="G653" s="2" t="str">
        <f>IF(_xlfn.XLOOKUP(C653,customers!$A$2:$A$1001,customers!$C$2:$C$1001,,)=0,"",_xlfn.XLOOKUP(C653,customers!$A$2:$A$1001,customers!$C$2:$C$1001,,))</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cm="1">
        <f t="array" ref="N653">_xlfn.IFS(I653="Rob","Robusta",I653="Exc","Excelsa",I653="Ara","Arabica",I653="Lib","Liberica")</f>
        <v>Robusta</v>
      </c>
      <c r="O653" t="str" cm="1">
        <f t="array" ref="O653">_xlfn.IFS(J653="M","Medium",J653="L","Light",J653="D","Dark")</f>
        <v>Light</v>
      </c>
      <c r="P653" t="str">
        <f>_xlfn.XLOOKUP(Orders[[#This Row],[Customer ID]],customers!$A$1:$A$1001,customers!$I$1:$I$1001,,0)</f>
        <v>No</v>
      </c>
    </row>
    <row r="654" spans="1:16" x14ac:dyDescent="0.25">
      <c r="A654" s="2" t="s">
        <v>4174</v>
      </c>
      <c r="B654" s="3">
        <v>43892</v>
      </c>
      <c r="C654" s="2" t="s">
        <v>4175</v>
      </c>
      <c r="D654" t="s">
        <v>6170</v>
      </c>
      <c r="E654" s="2">
        <v>4</v>
      </c>
      <c r="F654" s="2" t="str">
        <f>_xlfn.XLOOKUP(orders!C654,customers!$A$2:$A$1001,customers!$B$2:$B$1001)</f>
        <v>Rhetta Zywicki</v>
      </c>
      <c r="G654" s="2" t="str">
        <f>IF(_xlfn.XLOOKUP(C654,customers!$A$2:$A$1001,customers!$C$2:$C$1001,,)=0,"",_xlfn.XLOOKUP(C654,customers!$A$2:$A$1001,customers!$C$2:$C$1001,,))</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cm="1">
        <f t="array" ref="N654">_xlfn.IFS(I654="Rob","Robusta",I654="Exc","Excelsa",I654="Ara","Arabica",I654="Lib","Liberica")</f>
        <v>Liberica</v>
      </c>
      <c r="O654" t="str" cm="1">
        <f t="array" ref="O654">_xlfn.IFS(J654="M","Medium",J654="L","Light",J654="D","Dark")</f>
        <v>Light</v>
      </c>
      <c r="P654" t="str">
        <f>_xlfn.XLOOKUP(Orders[[#This Row],[Customer ID]],customers!$A$1:$A$1001,customers!$I$1:$I$1001,,0)</f>
        <v>No</v>
      </c>
    </row>
    <row r="655" spans="1:16" x14ac:dyDescent="0.25">
      <c r="A655" s="2" t="s">
        <v>4179</v>
      </c>
      <c r="B655" s="3">
        <v>44375</v>
      </c>
      <c r="C655" s="2" t="s">
        <v>4180</v>
      </c>
      <c r="D655" t="s">
        <v>6175</v>
      </c>
      <c r="E655" s="2">
        <v>4</v>
      </c>
      <c r="F655" s="2" t="str">
        <f>_xlfn.XLOOKUP(orders!C655,customers!$A$2:$A$1001,customers!$B$2:$B$1001)</f>
        <v>Almeria Burgett</v>
      </c>
      <c r="G655" s="2" t="str">
        <f>IF(_xlfn.XLOOKUP(C655,customers!$A$2:$A$1001,customers!$C$2:$C$1001,,)=0,"",_xlfn.XLOOKUP(C655,customers!$A$2:$A$1001,customers!$C$2:$C$1001,,))</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cm="1">
        <f t="array" ref="N655">_xlfn.IFS(I655="Rob","Robusta",I655="Exc","Excelsa",I655="Ara","Arabica",I655="Lib","Liberica")</f>
        <v>Arabica</v>
      </c>
      <c r="O655" t="str" cm="1">
        <f t="array" ref="O655">_xlfn.IFS(J655="M","Medium",J655="L","Light",J655="D","Dark")</f>
        <v>Medium</v>
      </c>
      <c r="P655" t="str">
        <f>_xlfn.XLOOKUP(Orders[[#This Row],[Customer ID]],customers!$A$1:$A$1001,customers!$I$1:$I$1001,,0)</f>
        <v>No</v>
      </c>
    </row>
    <row r="656" spans="1:16" x14ac:dyDescent="0.25">
      <c r="A656" s="2" t="s">
        <v>4185</v>
      </c>
      <c r="B656" s="3">
        <v>43476</v>
      </c>
      <c r="C656" s="2" t="s">
        <v>4186</v>
      </c>
      <c r="D656" t="s">
        <v>6168</v>
      </c>
      <c r="E656" s="2">
        <v>3</v>
      </c>
      <c r="F656" s="2" t="str">
        <f>_xlfn.XLOOKUP(orders!C656,customers!$A$2:$A$1001,customers!$B$2:$B$1001)</f>
        <v>Marvin Malloy</v>
      </c>
      <c r="G656" s="2" t="str">
        <f>IF(_xlfn.XLOOKUP(C656,customers!$A$2:$A$1001,customers!$C$2:$C$1001,,)=0,"",_xlfn.XLOOKUP(C656,customers!$A$2:$A$1001,customers!$C$2:$C$1001,,))</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cm="1">
        <f t="array" ref="N656">_xlfn.IFS(I656="Rob","Robusta",I656="Exc","Excelsa",I656="Ara","Arabica",I656="Lib","Liberica")</f>
        <v>Arabica</v>
      </c>
      <c r="O656" t="str" cm="1">
        <f t="array" ref="O656">_xlfn.IFS(J656="M","Medium",J656="L","Light",J656="D","Dark")</f>
        <v>Dark</v>
      </c>
      <c r="P656" t="str">
        <f>_xlfn.XLOOKUP(Orders[[#This Row],[Customer ID]],customers!$A$1:$A$1001,customers!$I$1:$I$1001,,0)</f>
        <v>No</v>
      </c>
    </row>
    <row r="657" spans="1:16" x14ac:dyDescent="0.25">
      <c r="A657" s="2" t="s">
        <v>4191</v>
      </c>
      <c r="B657" s="3">
        <v>43728</v>
      </c>
      <c r="C657" s="2" t="s">
        <v>4192</v>
      </c>
      <c r="D657" t="s">
        <v>6151</v>
      </c>
      <c r="E657" s="2">
        <v>2</v>
      </c>
      <c r="F657" s="2" t="str">
        <f>_xlfn.XLOOKUP(orders!C657,customers!$A$2:$A$1001,customers!$B$2:$B$1001)</f>
        <v>Maxim McParland</v>
      </c>
      <c r="G657" s="2" t="str">
        <f>IF(_xlfn.XLOOKUP(C657,customers!$A$2:$A$1001,customers!$C$2:$C$1001,,)=0,"",_xlfn.XLOOKUP(C657,customers!$A$2:$A$1001,customers!$C$2:$C$1001,,))</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cm="1">
        <f t="array" ref="N657">_xlfn.IFS(I657="Rob","Robusta",I657="Exc","Excelsa",I657="Ara","Arabica",I657="Lib","Liberica")</f>
        <v>Robusta</v>
      </c>
      <c r="O657" t="str" cm="1">
        <f t="array" ref="O657">_xlfn.IFS(J657="M","Medium",J657="L","Light",J657="D","Dark")</f>
        <v>Medium</v>
      </c>
      <c r="P657" t="str">
        <f>_xlfn.XLOOKUP(Orders[[#This Row],[Customer ID]],customers!$A$1:$A$1001,customers!$I$1:$I$1001,,0)</f>
        <v>Yes</v>
      </c>
    </row>
    <row r="658" spans="1:16" x14ac:dyDescent="0.25">
      <c r="A658" s="2" t="s">
        <v>4196</v>
      </c>
      <c r="B658" s="3">
        <v>44485</v>
      </c>
      <c r="C658" s="2" t="s">
        <v>4197</v>
      </c>
      <c r="D658" t="s">
        <v>6143</v>
      </c>
      <c r="E658" s="2">
        <v>4</v>
      </c>
      <c r="F658" s="2" t="str">
        <f>_xlfn.XLOOKUP(orders!C658,customers!$A$2:$A$1001,customers!$B$2:$B$1001)</f>
        <v>Sylas Jennaroy</v>
      </c>
      <c r="G658" s="2" t="str">
        <f>IF(_xlfn.XLOOKUP(C658,customers!$A$2:$A$1001,customers!$C$2:$C$1001,,)=0,"",_xlfn.XLOOKUP(C658,customers!$A$2:$A$1001,customers!$C$2:$C$1001,,))</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cm="1">
        <f t="array" ref="N658">_xlfn.IFS(I658="Rob","Robusta",I658="Exc","Excelsa",I658="Ara","Arabica",I658="Lib","Liberica")</f>
        <v>Liberica</v>
      </c>
      <c r="O658" t="str" cm="1">
        <f t="array" ref="O658">_xlfn.IFS(J658="M","Medium",J658="L","Light",J658="D","Dark")</f>
        <v>Dark</v>
      </c>
      <c r="P658" t="str">
        <f>_xlfn.XLOOKUP(Orders[[#This Row],[Customer ID]],customers!$A$1:$A$1001,customers!$I$1:$I$1001,,0)</f>
        <v>No</v>
      </c>
    </row>
    <row r="659" spans="1:16" x14ac:dyDescent="0.25">
      <c r="A659" s="2" t="s">
        <v>4201</v>
      </c>
      <c r="B659" s="3">
        <v>43831</v>
      </c>
      <c r="C659" s="2" t="s">
        <v>4202</v>
      </c>
      <c r="D659" t="s">
        <v>6157</v>
      </c>
      <c r="E659" s="2">
        <v>2</v>
      </c>
      <c r="F659" s="2" t="str">
        <f>_xlfn.XLOOKUP(orders!C659,customers!$A$2:$A$1001,customers!$B$2:$B$1001)</f>
        <v>Wren Place</v>
      </c>
      <c r="G659" s="2" t="str">
        <f>IF(_xlfn.XLOOKUP(C659,customers!$A$2:$A$1001,customers!$C$2:$C$1001,,)=0,"",_xlfn.XLOOKUP(C659,customers!$A$2:$A$1001,customers!$C$2:$C$1001,,))</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cm="1">
        <f t="array" ref="N659">_xlfn.IFS(I659="Rob","Robusta",I659="Exc","Excelsa",I659="Ara","Arabica",I659="Lib","Liberica")</f>
        <v>Arabica</v>
      </c>
      <c r="O659" t="str" cm="1">
        <f t="array" ref="O659">_xlfn.IFS(J659="M","Medium",J659="L","Light",J659="D","Dark")</f>
        <v>Medium</v>
      </c>
      <c r="P659" t="str">
        <f>_xlfn.XLOOKUP(Orders[[#This Row],[Customer ID]],customers!$A$1:$A$1001,customers!$I$1:$I$1001,,0)</f>
        <v>Yes</v>
      </c>
    </row>
    <row r="660" spans="1:16" x14ac:dyDescent="0.25">
      <c r="A660" s="2" t="s">
        <v>4207</v>
      </c>
      <c r="B660" s="3">
        <v>44630</v>
      </c>
      <c r="C660" s="2" t="s">
        <v>4263</v>
      </c>
      <c r="D660" t="s">
        <v>6139</v>
      </c>
      <c r="E660" s="2">
        <v>3</v>
      </c>
      <c r="F660" s="2" t="str">
        <f>_xlfn.XLOOKUP(orders!C660,customers!$A$2:$A$1001,customers!$B$2:$B$1001)</f>
        <v>Janella Millett</v>
      </c>
      <c r="G660" s="2" t="str">
        <f>IF(_xlfn.XLOOKUP(C660,customers!$A$2:$A$1001,customers!$C$2:$C$1001,,)=0,"",_xlfn.XLOOKUP(C660,customers!$A$2:$A$1001,customers!$C$2:$C$1001,,))</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cm="1">
        <f t="array" ref="N660">_xlfn.IFS(I660="Rob","Robusta",I660="Exc","Excelsa",I660="Ara","Arabica",I660="Lib","Liberica")</f>
        <v>Excelsa</v>
      </c>
      <c r="O660" t="str" cm="1">
        <f t="array" ref="O660">_xlfn.IFS(J660="M","Medium",J660="L","Light",J660="D","Dark")</f>
        <v>Medium</v>
      </c>
      <c r="P660" t="str">
        <f>_xlfn.XLOOKUP(Orders[[#This Row],[Customer ID]],customers!$A$1:$A$1001,customers!$I$1:$I$1001,,0)</f>
        <v>Yes</v>
      </c>
    </row>
    <row r="661" spans="1:16" x14ac:dyDescent="0.25">
      <c r="A661" s="2" t="s">
        <v>4211</v>
      </c>
      <c r="B661" s="3">
        <v>44693</v>
      </c>
      <c r="C661" s="2" t="s">
        <v>4212</v>
      </c>
      <c r="D661" t="s">
        <v>6168</v>
      </c>
      <c r="E661" s="2">
        <v>2</v>
      </c>
      <c r="F661" s="2" t="str">
        <f>_xlfn.XLOOKUP(orders!C661,customers!$A$2:$A$1001,customers!$B$2:$B$1001)</f>
        <v>Dollie Gadsden</v>
      </c>
      <c r="G661" s="2" t="str">
        <f>IF(_xlfn.XLOOKUP(C661,customers!$A$2:$A$1001,customers!$C$2:$C$1001,,)=0,"",_xlfn.XLOOKUP(C661,customers!$A$2:$A$1001,customers!$C$2:$C$1001,,))</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cm="1">
        <f t="array" ref="N661">_xlfn.IFS(I661="Rob","Robusta",I661="Exc","Excelsa",I661="Ara","Arabica",I661="Lib","Liberica")</f>
        <v>Arabica</v>
      </c>
      <c r="O661" t="str" cm="1">
        <f t="array" ref="O661">_xlfn.IFS(J661="M","Medium",J661="L","Light",J661="D","Dark")</f>
        <v>Dark</v>
      </c>
      <c r="P661" t="str">
        <f>_xlfn.XLOOKUP(Orders[[#This Row],[Customer ID]],customers!$A$1:$A$1001,customers!$I$1:$I$1001,,0)</f>
        <v>Yes</v>
      </c>
    </row>
    <row r="662" spans="1:16" x14ac:dyDescent="0.25">
      <c r="A662" s="2" t="s">
        <v>4217</v>
      </c>
      <c r="B662" s="3">
        <v>44084</v>
      </c>
      <c r="C662" s="2" t="s">
        <v>4218</v>
      </c>
      <c r="D662" t="s">
        <v>6176</v>
      </c>
      <c r="E662" s="2">
        <v>6</v>
      </c>
      <c r="F662" s="2" t="str">
        <f>_xlfn.XLOOKUP(orders!C662,customers!$A$2:$A$1001,customers!$B$2:$B$1001)</f>
        <v>Val Wakelin</v>
      </c>
      <c r="G662" s="2" t="str">
        <f>IF(_xlfn.XLOOKUP(C662,customers!$A$2:$A$1001,customers!$C$2:$C$1001,,)=0,"",_xlfn.XLOOKUP(C662,customers!$A$2:$A$1001,customers!$C$2:$C$1001,,))</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cm="1">
        <f t="array" ref="N662">_xlfn.IFS(I662="Rob","Robusta",I662="Exc","Excelsa",I662="Ara","Arabica",I662="Lib","Liberica")</f>
        <v>Excelsa</v>
      </c>
      <c r="O662" t="str" cm="1">
        <f t="array" ref="O662">_xlfn.IFS(J662="M","Medium",J662="L","Light",J662="D","Dark")</f>
        <v>Light</v>
      </c>
      <c r="P662" t="str">
        <f>_xlfn.XLOOKUP(Orders[[#This Row],[Customer ID]],customers!$A$1:$A$1001,customers!$I$1:$I$1001,,0)</f>
        <v>No</v>
      </c>
    </row>
    <row r="663" spans="1:16" x14ac:dyDescent="0.25">
      <c r="A663" s="2" t="s">
        <v>4223</v>
      </c>
      <c r="B663" s="3">
        <v>44485</v>
      </c>
      <c r="C663" s="2" t="s">
        <v>4224</v>
      </c>
      <c r="D663" t="s">
        <v>6152</v>
      </c>
      <c r="E663" s="2">
        <v>6</v>
      </c>
      <c r="F663" s="2" t="str">
        <f>_xlfn.XLOOKUP(orders!C663,customers!$A$2:$A$1001,customers!$B$2:$B$1001)</f>
        <v>Annie Campsall</v>
      </c>
      <c r="G663" s="2" t="str">
        <f>IF(_xlfn.XLOOKUP(C663,customers!$A$2:$A$1001,customers!$C$2:$C$1001,,)=0,"",_xlfn.XLOOKUP(C663,customers!$A$2:$A$1001,customers!$C$2:$C$1001,,))</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cm="1">
        <f t="array" ref="N663">_xlfn.IFS(I663="Rob","Robusta",I663="Exc","Excelsa",I663="Ara","Arabica",I663="Lib","Liberica")</f>
        <v>Arabica</v>
      </c>
      <c r="O663" t="str" cm="1">
        <f t="array" ref="O663">_xlfn.IFS(J663="M","Medium",J663="L","Light",J663="D","Dark")</f>
        <v>Medium</v>
      </c>
      <c r="P663" t="str">
        <f>_xlfn.XLOOKUP(Orders[[#This Row],[Customer ID]],customers!$A$1:$A$1001,customers!$I$1:$I$1001,,0)</f>
        <v>Yes</v>
      </c>
    </row>
    <row r="664" spans="1:16" x14ac:dyDescent="0.25">
      <c r="A664" s="2" t="s">
        <v>4229</v>
      </c>
      <c r="B664" s="3">
        <v>44364</v>
      </c>
      <c r="C664" s="2" t="s">
        <v>4230</v>
      </c>
      <c r="D664" t="s">
        <v>6165</v>
      </c>
      <c r="E664" s="2">
        <v>5</v>
      </c>
      <c r="F664" s="2" t="str">
        <f>_xlfn.XLOOKUP(orders!C664,customers!$A$2:$A$1001,customers!$B$2:$B$1001)</f>
        <v>Shermy Moseby</v>
      </c>
      <c r="G664" s="2" t="str">
        <f>IF(_xlfn.XLOOKUP(C664,customers!$A$2:$A$1001,customers!$C$2:$C$1001,,)=0,"",_xlfn.XLOOKUP(C664,customers!$A$2:$A$1001,customers!$C$2:$C$1001,,))</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cm="1">
        <f t="array" ref="N664">_xlfn.IFS(I664="Rob","Robusta",I664="Exc","Excelsa",I664="Ara","Arabica",I664="Lib","Liberica")</f>
        <v>Liberica</v>
      </c>
      <c r="O664" t="str" cm="1">
        <f t="array" ref="O664">_xlfn.IFS(J664="M","Medium",J664="L","Light",J664="D","Dark")</f>
        <v>Dark</v>
      </c>
      <c r="P664" t="str">
        <f>_xlfn.XLOOKUP(Orders[[#This Row],[Customer ID]],customers!$A$1:$A$1001,customers!$I$1:$I$1001,,0)</f>
        <v>No</v>
      </c>
    </row>
    <row r="665" spans="1:16" x14ac:dyDescent="0.25">
      <c r="A665" s="2" t="s">
        <v>4234</v>
      </c>
      <c r="B665" s="3">
        <v>43554</v>
      </c>
      <c r="C665" s="2" t="s">
        <v>4235</v>
      </c>
      <c r="D665" t="s">
        <v>6155</v>
      </c>
      <c r="E665" s="2">
        <v>6</v>
      </c>
      <c r="F665" s="2" t="str">
        <f>_xlfn.XLOOKUP(orders!C665,customers!$A$2:$A$1001,customers!$B$2:$B$1001)</f>
        <v>Corrie Wass</v>
      </c>
      <c r="G665" s="2" t="str">
        <f>IF(_xlfn.XLOOKUP(C665,customers!$A$2:$A$1001,customers!$C$2:$C$1001,,)=0,"",_xlfn.XLOOKUP(C665,customers!$A$2:$A$1001,customers!$C$2:$C$1001,,))</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cm="1">
        <f t="array" ref="N665">_xlfn.IFS(I665="Rob","Robusta",I665="Exc","Excelsa",I665="Ara","Arabica",I665="Lib","Liberica")</f>
        <v>Arabica</v>
      </c>
      <c r="O665" t="str" cm="1">
        <f t="array" ref="O665">_xlfn.IFS(J665="M","Medium",J665="L","Light",J665="D","Dark")</f>
        <v>Medium</v>
      </c>
      <c r="P665" t="str">
        <f>_xlfn.XLOOKUP(Orders[[#This Row],[Customer ID]],customers!$A$1:$A$1001,customers!$I$1:$I$1001,,0)</f>
        <v>No</v>
      </c>
    </row>
    <row r="666" spans="1:16" x14ac:dyDescent="0.25">
      <c r="A666" s="2" t="s">
        <v>4239</v>
      </c>
      <c r="B666" s="3">
        <v>44549</v>
      </c>
      <c r="C666" s="2" t="s">
        <v>4240</v>
      </c>
      <c r="D666" t="s">
        <v>6183</v>
      </c>
      <c r="E666" s="2">
        <v>6</v>
      </c>
      <c r="F666" s="2" t="str">
        <f>_xlfn.XLOOKUP(orders!C666,customers!$A$2:$A$1001,customers!$B$2:$B$1001)</f>
        <v>Ira Sjostrom</v>
      </c>
      <c r="G666" s="2" t="str">
        <f>IF(_xlfn.XLOOKUP(C666,customers!$A$2:$A$1001,customers!$C$2:$C$1001,,)=0,"",_xlfn.XLOOKUP(C666,customers!$A$2:$A$1001,customers!$C$2:$C$1001,,))</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cm="1">
        <f t="array" ref="N666">_xlfn.IFS(I666="Rob","Robusta",I666="Exc","Excelsa",I666="Ara","Arabica",I666="Lib","Liberica")</f>
        <v>Excelsa</v>
      </c>
      <c r="O666" t="str" cm="1">
        <f t="array" ref="O666">_xlfn.IFS(J666="M","Medium",J666="L","Light",J666="D","Dark")</f>
        <v>Dark</v>
      </c>
      <c r="P666" t="str">
        <f>_xlfn.XLOOKUP(Orders[[#This Row],[Customer ID]],customers!$A$1:$A$1001,customers!$I$1:$I$1001,,0)</f>
        <v>No</v>
      </c>
    </row>
    <row r="667" spans="1:16" x14ac:dyDescent="0.25">
      <c r="A667" s="2" t="s">
        <v>4239</v>
      </c>
      <c r="B667" s="3">
        <v>44549</v>
      </c>
      <c r="C667" s="2" t="s">
        <v>4240</v>
      </c>
      <c r="D667" t="s">
        <v>6150</v>
      </c>
      <c r="E667" s="2">
        <v>2</v>
      </c>
      <c r="F667" s="2" t="str">
        <f>_xlfn.XLOOKUP(orders!C667,customers!$A$2:$A$1001,customers!$B$2:$B$1001)</f>
        <v>Ira Sjostrom</v>
      </c>
      <c r="G667" s="2" t="str">
        <f>IF(_xlfn.XLOOKUP(C667,customers!$A$2:$A$1001,customers!$C$2:$C$1001,,)=0,"",_xlfn.XLOOKUP(C667,customers!$A$2:$A$1001,customers!$C$2:$C$1001,,))</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cm="1">
        <f t="array" ref="N667">_xlfn.IFS(I667="Rob","Robusta",I667="Exc","Excelsa",I667="Ara","Arabica",I667="Lib","Liberica")</f>
        <v>Liberica</v>
      </c>
      <c r="O667" t="str" cm="1">
        <f t="array" ref="O667">_xlfn.IFS(J667="M","Medium",J667="L","Light",J667="D","Dark")</f>
        <v>Dark</v>
      </c>
      <c r="P667" t="str">
        <f>_xlfn.XLOOKUP(Orders[[#This Row],[Customer ID]],customers!$A$1:$A$1001,customers!$I$1:$I$1001,,0)</f>
        <v>No</v>
      </c>
    </row>
    <row r="668" spans="1:16" x14ac:dyDescent="0.25">
      <c r="A668" s="2" t="s">
        <v>4250</v>
      </c>
      <c r="B668" s="3">
        <v>43987</v>
      </c>
      <c r="C668" s="2" t="s">
        <v>4251</v>
      </c>
      <c r="D668" t="s">
        <v>6168</v>
      </c>
      <c r="E668" s="2">
        <v>4</v>
      </c>
      <c r="F668" s="2" t="str">
        <f>_xlfn.XLOOKUP(orders!C668,customers!$A$2:$A$1001,customers!$B$2:$B$1001)</f>
        <v>Jermaine Branchett</v>
      </c>
      <c r="G668" s="2" t="str">
        <f>IF(_xlfn.XLOOKUP(C668,customers!$A$2:$A$1001,customers!$C$2:$C$1001,,)=0,"",_xlfn.XLOOKUP(C668,customers!$A$2:$A$1001,customers!$C$2:$C$1001,,))</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cm="1">
        <f t="array" ref="N668">_xlfn.IFS(I668="Rob","Robusta",I668="Exc","Excelsa",I668="Ara","Arabica",I668="Lib","Liberica")</f>
        <v>Arabica</v>
      </c>
      <c r="O668" t="str" cm="1">
        <f t="array" ref="O668">_xlfn.IFS(J668="M","Medium",J668="L","Light",J668="D","Dark")</f>
        <v>Dark</v>
      </c>
      <c r="P668" t="str">
        <f>_xlfn.XLOOKUP(Orders[[#This Row],[Customer ID]],customers!$A$1:$A$1001,customers!$I$1:$I$1001,,0)</f>
        <v>No</v>
      </c>
    </row>
    <row r="669" spans="1:16" x14ac:dyDescent="0.25">
      <c r="A669" s="2" t="s">
        <v>4256</v>
      </c>
      <c r="B669" s="3">
        <v>44451</v>
      </c>
      <c r="C669" s="2" t="s">
        <v>4257</v>
      </c>
      <c r="D669" t="s">
        <v>6147</v>
      </c>
      <c r="E669" s="2">
        <v>6</v>
      </c>
      <c r="F669" s="2" t="str">
        <f>_xlfn.XLOOKUP(orders!C669,customers!$A$2:$A$1001,customers!$B$2:$B$1001)</f>
        <v>Nissie Rudland</v>
      </c>
      <c r="G669" s="2" t="str">
        <f>IF(_xlfn.XLOOKUP(C669,customers!$A$2:$A$1001,customers!$C$2:$C$1001,,)=0,"",_xlfn.XLOOKUP(C669,customers!$A$2:$A$1001,customers!$C$2:$C$1001,,))</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cm="1">
        <f t="array" ref="N669">_xlfn.IFS(I669="Rob","Robusta",I669="Exc","Excelsa",I669="Ara","Arabica",I669="Lib","Liberica")</f>
        <v>Arabica</v>
      </c>
      <c r="O669" t="str" cm="1">
        <f t="array" ref="O669">_xlfn.IFS(J669="M","Medium",J669="L","Light",J669="D","Dark")</f>
        <v>Dark</v>
      </c>
      <c r="P669" t="str">
        <f>_xlfn.XLOOKUP(Orders[[#This Row],[Customer ID]],customers!$A$1:$A$1001,customers!$I$1:$I$1001,,0)</f>
        <v>No</v>
      </c>
    </row>
    <row r="670" spans="1:16" x14ac:dyDescent="0.25">
      <c r="A670" s="2" t="s">
        <v>4262</v>
      </c>
      <c r="B670" s="3">
        <v>44636</v>
      </c>
      <c r="C670" s="2" t="s">
        <v>4263</v>
      </c>
      <c r="D670" t="s">
        <v>6142</v>
      </c>
      <c r="E670" s="2">
        <v>5</v>
      </c>
      <c r="F670" s="2" t="str">
        <f>_xlfn.XLOOKUP(orders!C670,customers!$A$2:$A$1001,customers!$B$2:$B$1001)</f>
        <v>Janella Millett</v>
      </c>
      <c r="G670" s="2" t="str">
        <f>IF(_xlfn.XLOOKUP(C670,customers!$A$2:$A$1001,customers!$C$2:$C$1001,,)=0,"",_xlfn.XLOOKUP(C670,customers!$A$2:$A$1001,customers!$C$2:$C$1001,,))</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cm="1">
        <f t="array" ref="N670">_xlfn.IFS(I670="Rob","Robusta",I670="Exc","Excelsa",I670="Ara","Arabica",I670="Lib","Liberica")</f>
        <v>Robusta</v>
      </c>
      <c r="O670" t="str" cm="1">
        <f t="array" ref="O670">_xlfn.IFS(J670="M","Medium",J670="L","Light",J670="D","Dark")</f>
        <v>Light</v>
      </c>
      <c r="P670" t="str">
        <f>_xlfn.XLOOKUP(Orders[[#This Row],[Customer ID]],customers!$A$1:$A$1001,customers!$I$1:$I$1001,,0)</f>
        <v>Yes</v>
      </c>
    </row>
    <row r="671" spans="1:16" x14ac:dyDescent="0.25">
      <c r="A671" s="2" t="s">
        <v>4268</v>
      </c>
      <c r="B671" s="3">
        <v>44551</v>
      </c>
      <c r="C671" s="2" t="s">
        <v>4269</v>
      </c>
      <c r="D671" t="s">
        <v>6181</v>
      </c>
      <c r="E671" s="2">
        <v>2</v>
      </c>
      <c r="F671" s="2" t="str">
        <f>_xlfn.XLOOKUP(orders!C671,customers!$A$2:$A$1001,customers!$B$2:$B$1001)</f>
        <v>Ferdie Tourry</v>
      </c>
      <c r="G671" s="2" t="str">
        <f>IF(_xlfn.XLOOKUP(C671,customers!$A$2:$A$1001,customers!$C$2:$C$1001,,)=0,"",_xlfn.XLOOKUP(C671,customers!$A$2:$A$1001,customers!$C$2:$C$1001,,))</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cm="1">
        <f t="array" ref="N671">_xlfn.IFS(I671="Rob","Robusta",I671="Exc","Excelsa",I671="Ara","Arabica",I671="Lib","Liberica")</f>
        <v>Liberica</v>
      </c>
      <c r="O671" t="str" cm="1">
        <f t="array" ref="O671">_xlfn.IFS(J671="M","Medium",J671="L","Light",J671="D","Dark")</f>
        <v>Medium</v>
      </c>
      <c r="P671" t="str">
        <f>_xlfn.XLOOKUP(Orders[[#This Row],[Customer ID]],customers!$A$1:$A$1001,customers!$I$1:$I$1001,,0)</f>
        <v>No</v>
      </c>
    </row>
    <row r="672" spans="1:16" x14ac:dyDescent="0.25">
      <c r="A672" s="2" t="s">
        <v>4274</v>
      </c>
      <c r="B672" s="3">
        <v>43606</v>
      </c>
      <c r="C672" s="2" t="s">
        <v>4275</v>
      </c>
      <c r="D672" t="s">
        <v>6159</v>
      </c>
      <c r="E672" s="2">
        <v>3</v>
      </c>
      <c r="F672" s="2" t="str">
        <f>_xlfn.XLOOKUP(orders!C672,customers!$A$2:$A$1001,customers!$B$2:$B$1001)</f>
        <v>Cecil Weatherall</v>
      </c>
      <c r="G672" s="2" t="str">
        <f>IF(_xlfn.XLOOKUP(C672,customers!$A$2:$A$1001,customers!$C$2:$C$1001,,)=0,"",_xlfn.XLOOKUP(C672,customers!$A$2:$A$1001,customers!$C$2:$C$1001,,))</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cm="1">
        <f t="array" ref="N672">_xlfn.IFS(I672="Rob","Robusta",I672="Exc","Excelsa",I672="Ara","Arabica",I672="Lib","Liberica")</f>
        <v>Liberica</v>
      </c>
      <c r="O672" t="str" cm="1">
        <f t="array" ref="O672">_xlfn.IFS(J672="M","Medium",J672="L","Light",J672="D","Dark")</f>
        <v>Medium</v>
      </c>
      <c r="P672" t="str">
        <f>_xlfn.XLOOKUP(Orders[[#This Row],[Customer ID]],customers!$A$1:$A$1001,customers!$I$1:$I$1001,,0)</f>
        <v>Yes</v>
      </c>
    </row>
    <row r="673" spans="1:16" x14ac:dyDescent="0.25">
      <c r="A673" s="2" t="s">
        <v>4280</v>
      </c>
      <c r="B673" s="3">
        <v>44495</v>
      </c>
      <c r="C673" s="2" t="s">
        <v>4281</v>
      </c>
      <c r="D673" t="s">
        <v>6179</v>
      </c>
      <c r="E673" s="2">
        <v>5</v>
      </c>
      <c r="F673" s="2" t="str">
        <f>_xlfn.XLOOKUP(orders!C673,customers!$A$2:$A$1001,customers!$B$2:$B$1001)</f>
        <v>Gale Heindrick</v>
      </c>
      <c r="G673" s="2" t="str">
        <f>IF(_xlfn.XLOOKUP(C673,customers!$A$2:$A$1001,customers!$C$2:$C$1001,,)=0,"",_xlfn.XLOOKUP(C673,customers!$A$2:$A$1001,customers!$C$2:$C$1001,,))</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cm="1">
        <f t="array" ref="N673">_xlfn.IFS(I673="Rob","Robusta",I673="Exc","Excelsa",I673="Ara","Arabica",I673="Lib","Liberica")</f>
        <v>Robusta</v>
      </c>
      <c r="O673" t="str" cm="1">
        <f t="array" ref="O673">_xlfn.IFS(J673="M","Medium",J673="L","Light",J673="D","Dark")</f>
        <v>Light</v>
      </c>
      <c r="P673" t="str">
        <f>_xlfn.XLOOKUP(Orders[[#This Row],[Customer ID]],customers!$A$1:$A$1001,customers!$I$1:$I$1001,,0)</f>
        <v>No</v>
      </c>
    </row>
    <row r="674" spans="1:16" x14ac:dyDescent="0.25">
      <c r="A674" s="2" t="s">
        <v>4286</v>
      </c>
      <c r="B674" s="3">
        <v>43916</v>
      </c>
      <c r="C674" s="2" t="s">
        <v>4287</v>
      </c>
      <c r="D674" t="s">
        <v>6160</v>
      </c>
      <c r="E674" s="2">
        <v>5</v>
      </c>
      <c r="F674" s="2" t="str">
        <f>_xlfn.XLOOKUP(orders!C674,customers!$A$2:$A$1001,customers!$B$2:$B$1001)</f>
        <v>Layne Imason</v>
      </c>
      <c r="G674" s="2" t="str">
        <f>IF(_xlfn.XLOOKUP(C674,customers!$A$2:$A$1001,customers!$C$2:$C$1001,,)=0,"",_xlfn.XLOOKUP(C674,customers!$A$2:$A$1001,customers!$C$2:$C$1001,,))</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cm="1">
        <f t="array" ref="N674">_xlfn.IFS(I674="Rob","Robusta",I674="Exc","Excelsa",I674="Ara","Arabica",I674="Lib","Liberica")</f>
        <v>Liberica</v>
      </c>
      <c r="O674" t="str" cm="1">
        <f t="array" ref="O674">_xlfn.IFS(J674="M","Medium",J674="L","Light",J674="D","Dark")</f>
        <v>Medium</v>
      </c>
      <c r="P674" t="str">
        <f>_xlfn.XLOOKUP(Orders[[#This Row],[Customer ID]],customers!$A$1:$A$1001,customers!$I$1:$I$1001,,0)</f>
        <v>Yes</v>
      </c>
    </row>
    <row r="675" spans="1:16" x14ac:dyDescent="0.25">
      <c r="A675" s="2" t="s">
        <v>4291</v>
      </c>
      <c r="B675" s="3">
        <v>44118</v>
      </c>
      <c r="C675" s="2" t="s">
        <v>4292</v>
      </c>
      <c r="D675" t="s">
        <v>6141</v>
      </c>
      <c r="E675" s="2">
        <v>6</v>
      </c>
      <c r="F675" s="2" t="str">
        <f>_xlfn.XLOOKUP(orders!C675,customers!$A$2:$A$1001,customers!$B$2:$B$1001)</f>
        <v>Hazel Saill</v>
      </c>
      <c r="G675" s="2" t="str">
        <f>IF(_xlfn.XLOOKUP(C675,customers!$A$2:$A$1001,customers!$C$2:$C$1001,,)=0,"",_xlfn.XLOOKUP(C675,customers!$A$2:$A$1001,customers!$C$2:$C$1001,,))</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cm="1">
        <f t="array" ref="N675">_xlfn.IFS(I675="Rob","Robusta",I675="Exc","Excelsa",I675="Ara","Arabica",I675="Lib","Liberica")</f>
        <v>Excelsa</v>
      </c>
      <c r="O675" t="str" cm="1">
        <f t="array" ref="O675">_xlfn.IFS(J675="M","Medium",J675="L","Light",J675="D","Dark")</f>
        <v>Medium</v>
      </c>
      <c r="P675" t="str">
        <f>_xlfn.XLOOKUP(Orders[[#This Row],[Customer ID]],customers!$A$1:$A$1001,customers!$I$1:$I$1001,,0)</f>
        <v>Yes</v>
      </c>
    </row>
    <row r="676" spans="1:16" x14ac:dyDescent="0.25">
      <c r="A676" s="2" t="s">
        <v>4297</v>
      </c>
      <c r="B676" s="3">
        <v>44543</v>
      </c>
      <c r="C676" s="2" t="s">
        <v>4298</v>
      </c>
      <c r="D676" t="s">
        <v>6182</v>
      </c>
      <c r="E676" s="2">
        <v>6</v>
      </c>
      <c r="F676" s="2" t="str">
        <f>_xlfn.XLOOKUP(orders!C676,customers!$A$2:$A$1001,customers!$B$2:$B$1001)</f>
        <v>Hermann Larvor</v>
      </c>
      <c r="G676" s="2" t="str">
        <f>IF(_xlfn.XLOOKUP(C676,customers!$A$2:$A$1001,customers!$C$2:$C$1001,,)=0,"",_xlfn.XLOOKUP(C676,customers!$A$2:$A$1001,customers!$C$2:$C$1001,,))</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cm="1">
        <f t="array" ref="N676">_xlfn.IFS(I676="Rob","Robusta",I676="Exc","Excelsa",I676="Ara","Arabica",I676="Lib","Liberica")</f>
        <v>Arabica</v>
      </c>
      <c r="O676" t="str" cm="1">
        <f t="array" ref="O676">_xlfn.IFS(J676="M","Medium",J676="L","Light",J676="D","Dark")</f>
        <v>Light</v>
      </c>
      <c r="P676" t="str">
        <f>_xlfn.XLOOKUP(Orders[[#This Row],[Customer ID]],customers!$A$1:$A$1001,customers!$I$1:$I$1001,,0)</f>
        <v>Yes</v>
      </c>
    </row>
    <row r="677" spans="1:16" x14ac:dyDescent="0.25">
      <c r="A677" s="2" t="s">
        <v>4303</v>
      </c>
      <c r="B677" s="3">
        <v>44263</v>
      </c>
      <c r="C677" s="2" t="s">
        <v>4304</v>
      </c>
      <c r="D677" t="s">
        <v>6165</v>
      </c>
      <c r="E677" s="2">
        <v>4</v>
      </c>
      <c r="F677" s="2" t="str">
        <f>_xlfn.XLOOKUP(orders!C677,customers!$A$2:$A$1001,customers!$B$2:$B$1001)</f>
        <v>Terri Lyford</v>
      </c>
      <c r="G677" s="2" t="str">
        <f>IF(_xlfn.XLOOKUP(C677,customers!$A$2:$A$1001,customers!$C$2:$C$1001,,)=0,"",_xlfn.XLOOKUP(C677,customers!$A$2:$A$1001,customers!$C$2:$C$1001,,))</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cm="1">
        <f t="array" ref="N677">_xlfn.IFS(I677="Rob","Robusta",I677="Exc","Excelsa",I677="Ara","Arabica",I677="Lib","Liberica")</f>
        <v>Liberica</v>
      </c>
      <c r="O677" t="str" cm="1">
        <f t="array" ref="O677">_xlfn.IFS(J677="M","Medium",J677="L","Light",J677="D","Dark")</f>
        <v>Dark</v>
      </c>
      <c r="P677" t="str">
        <f>_xlfn.XLOOKUP(Orders[[#This Row],[Customer ID]],customers!$A$1:$A$1001,customers!$I$1:$I$1001,,0)</f>
        <v>Yes</v>
      </c>
    </row>
    <row r="678" spans="1:16" x14ac:dyDescent="0.25">
      <c r="A678" s="2" t="s">
        <v>4308</v>
      </c>
      <c r="B678" s="3">
        <v>44217</v>
      </c>
      <c r="C678" s="2" t="s">
        <v>4309</v>
      </c>
      <c r="D678" t="s">
        <v>6161</v>
      </c>
      <c r="E678" s="2">
        <v>5</v>
      </c>
      <c r="F678" s="2" t="str">
        <f>_xlfn.XLOOKUP(orders!C678,customers!$A$2:$A$1001,customers!$B$2:$B$1001)</f>
        <v>Gabey Cogan</v>
      </c>
      <c r="G678" s="2" t="str">
        <f>IF(_xlfn.XLOOKUP(C678,customers!$A$2:$A$1001,customers!$C$2:$C$1001,,)=0,"",_xlfn.XLOOKUP(C678,customers!$A$2:$A$1001,customers!$C$2:$C$1001,,))</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cm="1">
        <f t="array" ref="N678">_xlfn.IFS(I678="Rob","Robusta",I678="Exc","Excelsa",I678="Ara","Arabica",I678="Lib","Liberica")</f>
        <v>Liberica</v>
      </c>
      <c r="O678" t="str" cm="1">
        <f t="array" ref="O678">_xlfn.IFS(J678="M","Medium",J678="L","Light",J678="D","Dark")</f>
        <v>Light</v>
      </c>
      <c r="P678" t="str">
        <f>_xlfn.XLOOKUP(Orders[[#This Row],[Customer ID]],customers!$A$1:$A$1001,customers!$I$1:$I$1001,,0)</f>
        <v>No</v>
      </c>
    </row>
    <row r="679" spans="1:16" x14ac:dyDescent="0.25">
      <c r="A679" s="2" t="s">
        <v>4313</v>
      </c>
      <c r="B679" s="3">
        <v>44206</v>
      </c>
      <c r="C679" s="2" t="s">
        <v>4314</v>
      </c>
      <c r="D679" t="s">
        <v>6160</v>
      </c>
      <c r="E679" s="2">
        <v>5</v>
      </c>
      <c r="F679" s="2" t="str">
        <f>_xlfn.XLOOKUP(orders!C679,customers!$A$2:$A$1001,customers!$B$2:$B$1001)</f>
        <v>Charin Penwarden</v>
      </c>
      <c r="G679" s="2" t="str">
        <f>IF(_xlfn.XLOOKUP(C679,customers!$A$2:$A$1001,customers!$C$2:$C$1001,,)=0,"",_xlfn.XLOOKUP(C679,customers!$A$2:$A$1001,customers!$C$2:$C$1001,,))</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cm="1">
        <f t="array" ref="N679">_xlfn.IFS(I679="Rob","Robusta",I679="Exc","Excelsa",I679="Ara","Arabica",I679="Lib","Liberica")</f>
        <v>Liberica</v>
      </c>
      <c r="O679" t="str" cm="1">
        <f t="array" ref="O679">_xlfn.IFS(J679="M","Medium",J679="L","Light",J679="D","Dark")</f>
        <v>Medium</v>
      </c>
      <c r="P679" t="str">
        <f>_xlfn.XLOOKUP(Orders[[#This Row],[Customer ID]],customers!$A$1:$A$1001,customers!$I$1:$I$1001,,0)</f>
        <v>No</v>
      </c>
    </row>
    <row r="680" spans="1:16" x14ac:dyDescent="0.25">
      <c r="A680" s="2" t="s">
        <v>4319</v>
      </c>
      <c r="B680" s="3">
        <v>44281</v>
      </c>
      <c r="C680" s="2" t="s">
        <v>4320</v>
      </c>
      <c r="D680" t="s">
        <v>6182</v>
      </c>
      <c r="E680" s="2">
        <v>6</v>
      </c>
      <c r="F680" s="2" t="str">
        <f>_xlfn.XLOOKUP(orders!C680,customers!$A$2:$A$1001,customers!$B$2:$B$1001)</f>
        <v>Milty Middis</v>
      </c>
      <c r="G680" s="2" t="str">
        <f>IF(_xlfn.XLOOKUP(C680,customers!$A$2:$A$1001,customers!$C$2:$C$1001,,)=0,"",_xlfn.XLOOKUP(C680,customers!$A$2:$A$1001,customers!$C$2:$C$1001,,))</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cm="1">
        <f t="array" ref="N680">_xlfn.IFS(I680="Rob","Robusta",I680="Exc","Excelsa",I680="Ara","Arabica",I680="Lib","Liberica")</f>
        <v>Arabica</v>
      </c>
      <c r="O680" t="str" cm="1">
        <f t="array" ref="O680">_xlfn.IFS(J680="M","Medium",J680="L","Light",J680="D","Dark")</f>
        <v>Light</v>
      </c>
      <c r="P680" t="str">
        <f>_xlfn.XLOOKUP(Orders[[#This Row],[Customer ID]],customers!$A$1:$A$1001,customers!$I$1:$I$1001,,0)</f>
        <v>Yes</v>
      </c>
    </row>
    <row r="681" spans="1:16" x14ac:dyDescent="0.25">
      <c r="A681" s="2" t="s">
        <v>4325</v>
      </c>
      <c r="B681" s="3">
        <v>44645</v>
      </c>
      <c r="C681" s="2" t="s">
        <v>4326</v>
      </c>
      <c r="D681" t="s">
        <v>6142</v>
      </c>
      <c r="E681" s="2">
        <v>1</v>
      </c>
      <c r="F681" s="2" t="str">
        <f>_xlfn.XLOOKUP(orders!C681,customers!$A$2:$A$1001,customers!$B$2:$B$1001)</f>
        <v>Adrianne Vairow</v>
      </c>
      <c r="G681" s="2" t="str">
        <f>IF(_xlfn.XLOOKUP(C681,customers!$A$2:$A$1001,customers!$C$2:$C$1001,,)=0,"",_xlfn.XLOOKUP(C681,customers!$A$2:$A$1001,customers!$C$2:$C$1001,,))</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cm="1">
        <f t="array" ref="N681">_xlfn.IFS(I681="Rob","Robusta",I681="Exc","Excelsa",I681="Ara","Arabica",I681="Lib","Liberica")</f>
        <v>Robusta</v>
      </c>
      <c r="O681" t="str" cm="1">
        <f t="array" ref="O681">_xlfn.IFS(J681="M","Medium",J681="L","Light",J681="D","Dark")</f>
        <v>Light</v>
      </c>
      <c r="P681" t="str">
        <f>_xlfn.XLOOKUP(Orders[[#This Row],[Customer ID]],customers!$A$1:$A$1001,customers!$I$1:$I$1001,,0)</f>
        <v>No</v>
      </c>
    </row>
    <row r="682" spans="1:16" x14ac:dyDescent="0.25">
      <c r="A682" s="2" t="s">
        <v>4331</v>
      </c>
      <c r="B682" s="3">
        <v>44399</v>
      </c>
      <c r="C682" s="2" t="s">
        <v>4332</v>
      </c>
      <c r="D682" t="s">
        <v>6155</v>
      </c>
      <c r="E682" s="2">
        <v>5</v>
      </c>
      <c r="F682" s="2" t="str">
        <f>_xlfn.XLOOKUP(orders!C682,customers!$A$2:$A$1001,customers!$B$2:$B$1001)</f>
        <v>Anjanette Goldie</v>
      </c>
      <c r="G682" s="2" t="str">
        <f>IF(_xlfn.XLOOKUP(C682,customers!$A$2:$A$1001,customers!$C$2:$C$1001,,)=0,"",_xlfn.XLOOKUP(C682,customers!$A$2:$A$1001,customers!$C$2:$C$1001,,))</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cm="1">
        <f t="array" ref="N682">_xlfn.IFS(I682="Rob","Robusta",I682="Exc","Excelsa",I682="Ara","Arabica",I682="Lib","Liberica")</f>
        <v>Arabica</v>
      </c>
      <c r="O682" t="str" cm="1">
        <f t="array" ref="O682">_xlfn.IFS(J682="M","Medium",J682="L","Light",J682="D","Dark")</f>
        <v>Medium</v>
      </c>
      <c r="P682" t="str">
        <f>_xlfn.XLOOKUP(Orders[[#This Row],[Customer ID]],customers!$A$1:$A$1001,customers!$I$1:$I$1001,,0)</f>
        <v>No</v>
      </c>
    </row>
    <row r="683" spans="1:16" x14ac:dyDescent="0.25">
      <c r="A683" s="2" t="s">
        <v>4336</v>
      </c>
      <c r="B683" s="3">
        <v>44080</v>
      </c>
      <c r="C683" s="2" t="s">
        <v>4337</v>
      </c>
      <c r="D683" t="s">
        <v>6145</v>
      </c>
      <c r="E683" s="2">
        <v>2</v>
      </c>
      <c r="F683" s="2" t="str">
        <f>_xlfn.XLOOKUP(orders!C683,customers!$A$2:$A$1001,customers!$B$2:$B$1001)</f>
        <v>Nicky Ayris</v>
      </c>
      <c r="G683" s="2" t="str">
        <f>IF(_xlfn.XLOOKUP(C683,customers!$A$2:$A$1001,customers!$C$2:$C$1001,,)=0,"",_xlfn.XLOOKUP(C683,customers!$A$2:$A$1001,customers!$C$2:$C$1001,,))</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cm="1">
        <f t="array" ref="N683">_xlfn.IFS(I683="Rob","Robusta",I683="Exc","Excelsa",I683="Ara","Arabica",I683="Lib","Liberica")</f>
        <v>Liberica</v>
      </c>
      <c r="O683" t="str" cm="1">
        <f t="array" ref="O683">_xlfn.IFS(J683="M","Medium",J683="L","Light",J683="D","Dark")</f>
        <v>Light</v>
      </c>
      <c r="P683" t="str">
        <f>_xlfn.XLOOKUP(Orders[[#This Row],[Customer ID]],customers!$A$1:$A$1001,customers!$I$1:$I$1001,,0)</f>
        <v>Yes</v>
      </c>
    </row>
    <row r="684" spans="1:16" x14ac:dyDescent="0.25">
      <c r="A684" s="2" t="s">
        <v>4342</v>
      </c>
      <c r="B684" s="3">
        <v>43827</v>
      </c>
      <c r="C684" s="2" t="s">
        <v>4343</v>
      </c>
      <c r="D684" t="s">
        <v>6156</v>
      </c>
      <c r="E684" s="2">
        <v>2</v>
      </c>
      <c r="F684" s="2" t="str">
        <f>_xlfn.XLOOKUP(orders!C684,customers!$A$2:$A$1001,customers!$B$2:$B$1001)</f>
        <v>Laryssa Benediktovich</v>
      </c>
      <c r="G684" s="2" t="str">
        <f>IF(_xlfn.XLOOKUP(C684,customers!$A$2:$A$1001,customers!$C$2:$C$1001,,)=0,"",_xlfn.XLOOKUP(C684,customers!$A$2:$A$1001,customers!$C$2:$C$1001,,))</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cm="1">
        <f t="array" ref="N684">_xlfn.IFS(I684="Rob","Robusta",I684="Exc","Excelsa",I684="Ara","Arabica",I684="Lib","Liberica")</f>
        <v>Excelsa</v>
      </c>
      <c r="O684" t="str" cm="1">
        <f t="array" ref="O684">_xlfn.IFS(J684="M","Medium",J684="L","Light",J684="D","Dark")</f>
        <v>Medium</v>
      </c>
      <c r="P684" t="str">
        <f>_xlfn.XLOOKUP(Orders[[#This Row],[Customer ID]],customers!$A$1:$A$1001,customers!$I$1:$I$1001,,0)</f>
        <v>Yes</v>
      </c>
    </row>
    <row r="685" spans="1:16" x14ac:dyDescent="0.25">
      <c r="A685" s="2" t="s">
        <v>4348</v>
      </c>
      <c r="B685" s="3">
        <v>43941</v>
      </c>
      <c r="C685" s="2" t="s">
        <v>4349</v>
      </c>
      <c r="D685" t="s">
        <v>6169</v>
      </c>
      <c r="E685" s="2">
        <v>6</v>
      </c>
      <c r="F685" s="2" t="str">
        <f>_xlfn.XLOOKUP(orders!C685,customers!$A$2:$A$1001,customers!$B$2:$B$1001)</f>
        <v>Theo Jacobovitz</v>
      </c>
      <c r="G685" s="2" t="str">
        <f>IF(_xlfn.XLOOKUP(C685,customers!$A$2:$A$1001,customers!$C$2:$C$1001,,)=0,"",_xlfn.XLOOKUP(C685,customers!$A$2:$A$1001,customers!$C$2:$C$1001,,))</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cm="1">
        <f t="array" ref="N685">_xlfn.IFS(I685="Rob","Robusta",I685="Exc","Excelsa",I685="Ara","Arabica",I685="Lib","Liberica")</f>
        <v>Liberica</v>
      </c>
      <c r="O685" t="str" cm="1">
        <f t="array" ref="O685">_xlfn.IFS(J685="M","Medium",J685="L","Light",J685="D","Dark")</f>
        <v>Dark</v>
      </c>
      <c r="P685" t="str">
        <f>_xlfn.XLOOKUP(Orders[[#This Row],[Customer ID]],customers!$A$1:$A$1001,customers!$I$1:$I$1001,,0)</f>
        <v>No</v>
      </c>
    </row>
    <row r="686" spans="1:16" x14ac:dyDescent="0.25">
      <c r="A686" s="2" t="s">
        <v>4354</v>
      </c>
      <c r="B686" s="3">
        <v>43517</v>
      </c>
      <c r="C686" s="2" t="s">
        <v>4355</v>
      </c>
      <c r="D686" t="s">
        <v>6179</v>
      </c>
      <c r="E686" s="2">
        <v>6</v>
      </c>
      <c r="F686" s="2" t="str">
        <f>_xlfn.XLOOKUP(orders!C686,customers!$A$2:$A$1001,customers!$B$2:$B$1001)</f>
        <v>Becca Ableson</v>
      </c>
      <c r="G686" s="2" t="str">
        <f>IF(_xlfn.XLOOKUP(C686,customers!$A$2:$A$1001,customers!$C$2:$C$1001,,)=0,"",_xlfn.XLOOKUP(C686,customers!$A$2:$A$1001,customers!$C$2:$C$1001,,))</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cm="1">
        <f t="array" ref="N686">_xlfn.IFS(I686="Rob","Robusta",I686="Exc","Excelsa",I686="Ara","Arabica",I686="Lib","Liberica")</f>
        <v>Robusta</v>
      </c>
      <c r="O686" t="str" cm="1">
        <f t="array" ref="O686">_xlfn.IFS(J686="M","Medium",J686="L","Light",J686="D","Dark")</f>
        <v>Light</v>
      </c>
      <c r="P686" t="str">
        <f>_xlfn.XLOOKUP(Orders[[#This Row],[Customer ID]],customers!$A$1:$A$1001,customers!$I$1:$I$1001,,0)</f>
        <v>No</v>
      </c>
    </row>
    <row r="687" spans="1:16" x14ac:dyDescent="0.25">
      <c r="A687" s="2" t="s">
        <v>4359</v>
      </c>
      <c r="B687" s="3">
        <v>44637</v>
      </c>
      <c r="C687" s="2" t="s">
        <v>4360</v>
      </c>
      <c r="D687" t="s">
        <v>6164</v>
      </c>
      <c r="E687" s="2">
        <v>2</v>
      </c>
      <c r="F687" s="2" t="str">
        <f>_xlfn.XLOOKUP(orders!C687,customers!$A$2:$A$1001,customers!$B$2:$B$1001)</f>
        <v>Jeno Druitt</v>
      </c>
      <c r="G687" s="2" t="str">
        <f>IF(_xlfn.XLOOKUP(C687,customers!$A$2:$A$1001,customers!$C$2:$C$1001,,)=0,"",_xlfn.XLOOKUP(C687,customers!$A$2:$A$1001,customers!$C$2:$C$1001,,))</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cm="1">
        <f t="array" ref="N687">_xlfn.IFS(I687="Rob","Robusta",I687="Exc","Excelsa",I687="Ara","Arabica",I687="Lib","Liberica")</f>
        <v>Liberica</v>
      </c>
      <c r="O687" t="str" cm="1">
        <f t="array" ref="O687">_xlfn.IFS(J687="M","Medium",J687="L","Light",J687="D","Dark")</f>
        <v>Light</v>
      </c>
      <c r="P687" t="str">
        <f>_xlfn.XLOOKUP(Orders[[#This Row],[Customer ID]],customers!$A$1:$A$1001,customers!$I$1:$I$1001,,0)</f>
        <v>Yes</v>
      </c>
    </row>
    <row r="688" spans="1:16" x14ac:dyDescent="0.25">
      <c r="A688" s="2" t="s">
        <v>4365</v>
      </c>
      <c r="B688" s="3">
        <v>44330</v>
      </c>
      <c r="C688" s="2" t="s">
        <v>4366</v>
      </c>
      <c r="D688" t="s">
        <v>6163</v>
      </c>
      <c r="E688" s="2">
        <v>3</v>
      </c>
      <c r="F688" s="2" t="str">
        <f>_xlfn.XLOOKUP(orders!C688,customers!$A$2:$A$1001,customers!$B$2:$B$1001)</f>
        <v>Deonne Shortall</v>
      </c>
      <c r="G688" s="2" t="str">
        <f>IF(_xlfn.XLOOKUP(C688,customers!$A$2:$A$1001,customers!$C$2:$C$1001,,)=0,"",_xlfn.XLOOKUP(C688,customers!$A$2:$A$1001,customers!$C$2:$C$1001,,))</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cm="1">
        <f t="array" ref="N688">_xlfn.IFS(I688="Rob","Robusta",I688="Exc","Excelsa",I688="Ara","Arabica",I688="Lib","Liberica")</f>
        <v>Robusta</v>
      </c>
      <c r="O688" t="str" cm="1">
        <f t="array" ref="O688">_xlfn.IFS(J688="M","Medium",J688="L","Light",J688="D","Dark")</f>
        <v>Dark</v>
      </c>
      <c r="P688" t="str">
        <f>_xlfn.XLOOKUP(Orders[[#This Row],[Customer ID]],customers!$A$1:$A$1001,customers!$I$1:$I$1001,,0)</f>
        <v>Yes</v>
      </c>
    </row>
    <row r="689" spans="1:16" x14ac:dyDescent="0.25">
      <c r="A689" s="2" t="s">
        <v>4371</v>
      </c>
      <c r="B689" s="3">
        <v>43471</v>
      </c>
      <c r="C689" s="2" t="s">
        <v>4372</v>
      </c>
      <c r="D689" t="s">
        <v>6139</v>
      </c>
      <c r="E689" s="2">
        <v>2</v>
      </c>
      <c r="F689" s="2" t="str">
        <f>_xlfn.XLOOKUP(orders!C689,customers!$A$2:$A$1001,customers!$B$2:$B$1001)</f>
        <v>Wilton Cottier</v>
      </c>
      <c r="G689" s="2" t="str">
        <f>IF(_xlfn.XLOOKUP(C689,customers!$A$2:$A$1001,customers!$C$2:$C$1001,,)=0,"",_xlfn.XLOOKUP(C689,customers!$A$2:$A$1001,customers!$C$2:$C$1001,,))</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cm="1">
        <f t="array" ref="N689">_xlfn.IFS(I689="Rob","Robusta",I689="Exc","Excelsa",I689="Ara","Arabica",I689="Lib","Liberica")</f>
        <v>Excelsa</v>
      </c>
      <c r="O689" t="str" cm="1">
        <f t="array" ref="O689">_xlfn.IFS(J689="M","Medium",J689="L","Light",J689="D","Dark")</f>
        <v>Medium</v>
      </c>
      <c r="P689" t="str">
        <f>_xlfn.XLOOKUP(Orders[[#This Row],[Customer ID]],customers!$A$1:$A$1001,customers!$I$1:$I$1001,,0)</f>
        <v>No</v>
      </c>
    </row>
    <row r="690" spans="1:16" x14ac:dyDescent="0.25">
      <c r="A690" s="2" t="s">
        <v>4377</v>
      </c>
      <c r="B690" s="3">
        <v>43579</v>
      </c>
      <c r="C690" s="2" t="s">
        <v>4378</v>
      </c>
      <c r="D690" t="s">
        <v>6140</v>
      </c>
      <c r="E690" s="2">
        <v>5</v>
      </c>
      <c r="F690" s="2" t="str">
        <f>_xlfn.XLOOKUP(orders!C690,customers!$A$2:$A$1001,customers!$B$2:$B$1001)</f>
        <v>Kevan Grinsted</v>
      </c>
      <c r="G690" s="2" t="str">
        <f>IF(_xlfn.XLOOKUP(C690,customers!$A$2:$A$1001,customers!$C$2:$C$1001,,)=0,"",_xlfn.XLOOKUP(C690,customers!$A$2:$A$1001,customers!$C$2:$C$1001,,))</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cm="1">
        <f t="array" ref="N690">_xlfn.IFS(I690="Rob","Robusta",I690="Exc","Excelsa",I690="Ara","Arabica",I690="Lib","Liberica")</f>
        <v>Arabica</v>
      </c>
      <c r="O690" t="str" cm="1">
        <f t="array" ref="O690">_xlfn.IFS(J690="M","Medium",J690="L","Light",J690="D","Dark")</f>
        <v>Light</v>
      </c>
      <c r="P690" t="str">
        <f>_xlfn.XLOOKUP(Orders[[#This Row],[Customer ID]],customers!$A$1:$A$1001,customers!$I$1:$I$1001,,0)</f>
        <v>No</v>
      </c>
    </row>
    <row r="691" spans="1:16" x14ac:dyDescent="0.25">
      <c r="A691" s="2" t="s">
        <v>4383</v>
      </c>
      <c r="B691" s="3">
        <v>44346</v>
      </c>
      <c r="C691" s="2" t="s">
        <v>4384</v>
      </c>
      <c r="D691" t="s">
        <v>6157</v>
      </c>
      <c r="E691" s="2">
        <v>5</v>
      </c>
      <c r="F691" s="2" t="str">
        <f>_xlfn.XLOOKUP(orders!C691,customers!$A$2:$A$1001,customers!$B$2:$B$1001)</f>
        <v>Dionne Skyner</v>
      </c>
      <c r="G691" s="2" t="str">
        <f>IF(_xlfn.XLOOKUP(C691,customers!$A$2:$A$1001,customers!$C$2:$C$1001,,)=0,"",_xlfn.XLOOKUP(C691,customers!$A$2:$A$1001,customers!$C$2:$C$1001,,))</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cm="1">
        <f t="array" ref="N691">_xlfn.IFS(I691="Rob","Robusta",I691="Exc","Excelsa",I691="Ara","Arabica",I691="Lib","Liberica")</f>
        <v>Arabica</v>
      </c>
      <c r="O691" t="str" cm="1">
        <f t="array" ref="O691">_xlfn.IFS(J691="M","Medium",J691="L","Light",J691="D","Dark")</f>
        <v>Medium</v>
      </c>
      <c r="P691" t="str">
        <f>_xlfn.XLOOKUP(Orders[[#This Row],[Customer ID]],customers!$A$1:$A$1001,customers!$I$1:$I$1001,,0)</f>
        <v>No</v>
      </c>
    </row>
    <row r="692" spans="1:16" x14ac:dyDescent="0.25">
      <c r="A692" s="2" t="s">
        <v>4389</v>
      </c>
      <c r="B692" s="3">
        <v>44754</v>
      </c>
      <c r="C692" s="2" t="s">
        <v>4390</v>
      </c>
      <c r="D692" t="s">
        <v>6165</v>
      </c>
      <c r="E692" s="2">
        <v>6</v>
      </c>
      <c r="F692" s="2" t="str">
        <f>_xlfn.XLOOKUP(orders!C692,customers!$A$2:$A$1001,customers!$B$2:$B$1001)</f>
        <v>Francesco Dressel</v>
      </c>
      <c r="G692" s="2" t="str">
        <f>IF(_xlfn.XLOOKUP(C692,customers!$A$2:$A$1001,customers!$C$2:$C$1001,,)=0,"",_xlfn.XLOOKUP(C692,customers!$A$2:$A$1001,customers!$C$2:$C$1001,,))</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cm="1">
        <f t="array" ref="N692">_xlfn.IFS(I692="Rob","Robusta",I692="Exc","Excelsa",I692="Ara","Arabica",I692="Lib","Liberica")</f>
        <v>Liberica</v>
      </c>
      <c r="O692" t="str" cm="1">
        <f t="array" ref="O692">_xlfn.IFS(J692="M","Medium",J692="L","Light",J692="D","Dark")</f>
        <v>Dark</v>
      </c>
      <c r="P692" t="str">
        <f>_xlfn.XLOOKUP(Orders[[#This Row],[Customer ID]],customers!$A$1:$A$1001,customers!$I$1:$I$1001,,0)</f>
        <v>No</v>
      </c>
    </row>
    <row r="693" spans="1:16" x14ac:dyDescent="0.25">
      <c r="A693" s="2" t="s">
        <v>4393</v>
      </c>
      <c r="B693" s="3">
        <v>44227</v>
      </c>
      <c r="C693" s="2" t="s">
        <v>4434</v>
      </c>
      <c r="D693" t="s">
        <v>6155</v>
      </c>
      <c r="E693" s="2">
        <v>2</v>
      </c>
      <c r="F693" s="2" t="str">
        <f>_xlfn.XLOOKUP(orders!C693,customers!$A$2:$A$1001,customers!$B$2:$B$1001)</f>
        <v>Jimmy Dymoke</v>
      </c>
      <c r="G693" s="2" t="str">
        <f>IF(_xlfn.XLOOKUP(C693,customers!$A$2:$A$1001,customers!$C$2:$C$1001,,)=0,"",_xlfn.XLOOKUP(C693,customers!$A$2:$A$1001,customers!$C$2:$C$1001,,))</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cm="1">
        <f t="array" ref="N693">_xlfn.IFS(I693="Rob","Robusta",I693="Exc","Excelsa",I693="Ara","Arabica",I693="Lib","Liberica")</f>
        <v>Arabica</v>
      </c>
      <c r="O693" t="str" cm="1">
        <f t="array" ref="O693">_xlfn.IFS(J693="M","Medium",J693="L","Light",J693="D","Dark")</f>
        <v>Medium</v>
      </c>
      <c r="P693" t="str">
        <f>_xlfn.XLOOKUP(Orders[[#This Row],[Customer ID]],customers!$A$1:$A$1001,customers!$I$1:$I$1001,,0)</f>
        <v>No</v>
      </c>
    </row>
    <row r="694" spans="1:16" x14ac:dyDescent="0.25">
      <c r="A694" s="2" t="s">
        <v>4399</v>
      </c>
      <c r="B694" s="3">
        <v>43720</v>
      </c>
      <c r="C694" s="2" t="s">
        <v>4400</v>
      </c>
      <c r="D694" t="s">
        <v>6143</v>
      </c>
      <c r="E694" s="2">
        <v>1</v>
      </c>
      <c r="F694" s="2" t="str">
        <f>_xlfn.XLOOKUP(orders!C694,customers!$A$2:$A$1001,customers!$B$2:$B$1001)</f>
        <v>Ambrosio Weinmann</v>
      </c>
      <c r="G694" s="2" t="str">
        <f>IF(_xlfn.XLOOKUP(C694,customers!$A$2:$A$1001,customers!$C$2:$C$1001,,)=0,"",_xlfn.XLOOKUP(C694,customers!$A$2:$A$1001,customers!$C$2:$C$1001,,))</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cm="1">
        <f t="array" ref="N694">_xlfn.IFS(I694="Rob","Robusta",I694="Exc","Excelsa",I694="Ara","Arabica",I694="Lib","Liberica")</f>
        <v>Liberica</v>
      </c>
      <c r="O694" t="str" cm="1">
        <f t="array" ref="O694">_xlfn.IFS(J694="M","Medium",J694="L","Light",J694="D","Dark")</f>
        <v>Dark</v>
      </c>
      <c r="P694" t="str">
        <f>_xlfn.XLOOKUP(Orders[[#This Row],[Customer ID]],customers!$A$1:$A$1001,customers!$I$1:$I$1001,,0)</f>
        <v>No</v>
      </c>
    </row>
    <row r="695" spans="1:16" x14ac:dyDescent="0.25">
      <c r="A695" s="2" t="s">
        <v>4405</v>
      </c>
      <c r="B695" s="3">
        <v>44012</v>
      </c>
      <c r="C695" s="2" t="s">
        <v>4406</v>
      </c>
      <c r="D695" t="s">
        <v>6175</v>
      </c>
      <c r="E695" s="2">
        <v>2</v>
      </c>
      <c r="F695" s="2" t="str">
        <f>_xlfn.XLOOKUP(orders!C695,customers!$A$2:$A$1001,customers!$B$2:$B$1001)</f>
        <v>Elden Andriessen</v>
      </c>
      <c r="G695" s="2" t="str">
        <f>IF(_xlfn.XLOOKUP(C695,customers!$A$2:$A$1001,customers!$C$2:$C$1001,,)=0,"",_xlfn.XLOOKUP(C695,customers!$A$2:$A$1001,customers!$C$2:$C$1001,,))</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cm="1">
        <f t="array" ref="N695">_xlfn.IFS(I695="Rob","Robusta",I695="Exc","Excelsa",I695="Ara","Arabica",I695="Lib","Liberica")</f>
        <v>Arabica</v>
      </c>
      <c r="O695" t="str" cm="1">
        <f t="array" ref="O695">_xlfn.IFS(J695="M","Medium",J695="L","Light",J695="D","Dark")</f>
        <v>Medium</v>
      </c>
      <c r="P695" t="str">
        <f>_xlfn.XLOOKUP(Orders[[#This Row],[Customer ID]],customers!$A$1:$A$1001,customers!$I$1:$I$1001,,0)</f>
        <v>Yes</v>
      </c>
    </row>
    <row r="696" spans="1:16" x14ac:dyDescent="0.25">
      <c r="A696" s="2" t="s">
        <v>4411</v>
      </c>
      <c r="B696" s="3">
        <v>43915</v>
      </c>
      <c r="C696" s="2" t="s">
        <v>4412</v>
      </c>
      <c r="D696" t="s">
        <v>6144</v>
      </c>
      <c r="E696" s="2">
        <v>5</v>
      </c>
      <c r="F696" s="2" t="str">
        <f>_xlfn.XLOOKUP(orders!C696,customers!$A$2:$A$1001,customers!$B$2:$B$1001)</f>
        <v>Roxie Deaconson</v>
      </c>
      <c r="G696" s="2" t="str">
        <f>IF(_xlfn.XLOOKUP(C696,customers!$A$2:$A$1001,customers!$C$2:$C$1001,,)=0,"",_xlfn.XLOOKUP(C696,customers!$A$2:$A$1001,customers!$C$2:$C$1001,,))</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cm="1">
        <f t="array" ref="N696">_xlfn.IFS(I696="Rob","Robusta",I696="Exc","Excelsa",I696="Ara","Arabica",I696="Lib","Liberica")</f>
        <v>Excelsa</v>
      </c>
      <c r="O696" t="str" cm="1">
        <f t="array" ref="O696">_xlfn.IFS(J696="M","Medium",J696="L","Light",J696="D","Dark")</f>
        <v>Dark</v>
      </c>
      <c r="P696" t="str">
        <f>_xlfn.XLOOKUP(Orders[[#This Row],[Customer ID]],customers!$A$1:$A$1001,customers!$I$1:$I$1001,,0)</f>
        <v>No</v>
      </c>
    </row>
    <row r="697" spans="1:16" x14ac:dyDescent="0.25">
      <c r="A697" s="2" t="s">
        <v>4417</v>
      </c>
      <c r="B697" s="3">
        <v>44300</v>
      </c>
      <c r="C697" s="2" t="s">
        <v>4418</v>
      </c>
      <c r="D697" t="s">
        <v>6164</v>
      </c>
      <c r="E697" s="2">
        <v>5</v>
      </c>
      <c r="F697" s="2" t="str">
        <f>_xlfn.XLOOKUP(orders!C697,customers!$A$2:$A$1001,customers!$B$2:$B$1001)</f>
        <v>Davida Caro</v>
      </c>
      <c r="G697" s="2" t="str">
        <f>IF(_xlfn.XLOOKUP(C697,customers!$A$2:$A$1001,customers!$C$2:$C$1001,,)=0,"",_xlfn.XLOOKUP(C697,customers!$A$2:$A$1001,customers!$C$2:$C$1001,,))</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cm="1">
        <f t="array" ref="N697">_xlfn.IFS(I697="Rob","Robusta",I697="Exc","Excelsa",I697="Ara","Arabica",I697="Lib","Liberica")</f>
        <v>Liberica</v>
      </c>
      <c r="O697" t="str" cm="1">
        <f t="array" ref="O697">_xlfn.IFS(J697="M","Medium",J697="L","Light",J697="D","Dark")</f>
        <v>Light</v>
      </c>
      <c r="P697" t="str">
        <f>_xlfn.XLOOKUP(Orders[[#This Row],[Customer ID]],customers!$A$1:$A$1001,customers!$I$1:$I$1001,,0)</f>
        <v>Yes</v>
      </c>
    </row>
    <row r="698" spans="1:16" x14ac:dyDescent="0.25">
      <c r="A698" s="2" t="s">
        <v>4423</v>
      </c>
      <c r="B698" s="3">
        <v>43693</v>
      </c>
      <c r="C698" s="2" t="s">
        <v>4424</v>
      </c>
      <c r="D698" t="s">
        <v>6169</v>
      </c>
      <c r="E698" s="2">
        <v>4</v>
      </c>
      <c r="F698" s="2" t="str">
        <f>_xlfn.XLOOKUP(orders!C698,customers!$A$2:$A$1001,customers!$B$2:$B$1001)</f>
        <v>Johna Bluck</v>
      </c>
      <c r="G698" s="2" t="str">
        <f>IF(_xlfn.XLOOKUP(C698,customers!$A$2:$A$1001,customers!$C$2:$C$1001,,)=0,"",_xlfn.XLOOKUP(C698,customers!$A$2:$A$1001,customers!$C$2:$C$1001,,))</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cm="1">
        <f t="array" ref="N698">_xlfn.IFS(I698="Rob","Robusta",I698="Exc","Excelsa",I698="Ara","Arabica",I698="Lib","Liberica")</f>
        <v>Liberica</v>
      </c>
      <c r="O698" t="str" cm="1">
        <f t="array" ref="O698">_xlfn.IFS(J698="M","Medium",J698="L","Light",J698="D","Dark")</f>
        <v>Dark</v>
      </c>
      <c r="P698" t="str">
        <f>_xlfn.XLOOKUP(Orders[[#This Row],[Customer ID]],customers!$A$1:$A$1001,customers!$I$1:$I$1001,,0)</f>
        <v>No</v>
      </c>
    </row>
    <row r="699" spans="1:16" x14ac:dyDescent="0.25">
      <c r="A699" s="2" t="s">
        <v>4429</v>
      </c>
      <c r="B699" s="3">
        <v>44547</v>
      </c>
      <c r="C699" s="2" t="s">
        <v>4430</v>
      </c>
      <c r="D699" t="s">
        <v>6157</v>
      </c>
      <c r="E699" s="2">
        <v>3</v>
      </c>
      <c r="F699" s="2" t="str">
        <f>_xlfn.XLOOKUP(orders!C699,customers!$A$2:$A$1001,customers!$B$2:$B$1001)</f>
        <v>Myrle Dearden</v>
      </c>
      <c r="G699" s="2" t="str">
        <f>IF(_xlfn.XLOOKUP(C699,customers!$A$2:$A$1001,customers!$C$2:$C$1001,,)=0,"",_xlfn.XLOOKUP(C699,customers!$A$2:$A$1001,customers!$C$2:$C$1001,,))</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cm="1">
        <f t="array" ref="N699">_xlfn.IFS(I699="Rob","Robusta",I699="Exc","Excelsa",I699="Ara","Arabica",I699="Lib","Liberica")</f>
        <v>Arabica</v>
      </c>
      <c r="O699" t="str" cm="1">
        <f t="array" ref="O699">_xlfn.IFS(J699="M","Medium",J699="L","Light",J699="D","Dark")</f>
        <v>Medium</v>
      </c>
      <c r="P699" t="str">
        <f>_xlfn.XLOOKUP(Orders[[#This Row],[Customer ID]],customers!$A$1:$A$1001,customers!$I$1:$I$1001,,0)</f>
        <v>No</v>
      </c>
    </row>
    <row r="700" spans="1:16" x14ac:dyDescent="0.25">
      <c r="A700" s="2" t="s">
        <v>4433</v>
      </c>
      <c r="B700" s="3">
        <v>43830</v>
      </c>
      <c r="C700" s="2" t="s">
        <v>4434</v>
      </c>
      <c r="D700" t="s">
        <v>6143</v>
      </c>
      <c r="E700" s="2">
        <v>2</v>
      </c>
      <c r="F700" s="2" t="str">
        <f>_xlfn.XLOOKUP(orders!C700,customers!$A$2:$A$1001,customers!$B$2:$B$1001)</f>
        <v>Jimmy Dymoke</v>
      </c>
      <c r="G700" s="2" t="str">
        <f>IF(_xlfn.XLOOKUP(C700,customers!$A$2:$A$1001,customers!$C$2:$C$1001,,)=0,"",_xlfn.XLOOKUP(C700,customers!$A$2:$A$1001,customers!$C$2:$C$1001,,))</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cm="1">
        <f t="array" ref="N700">_xlfn.IFS(I700="Rob","Robusta",I700="Exc","Excelsa",I700="Ara","Arabica",I700="Lib","Liberica")</f>
        <v>Liberica</v>
      </c>
      <c r="O700" t="str" cm="1">
        <f t="array" ref="O700">_xlfn.IFS(J700="M","Medium",J700="L","Light",J700="D","Dark")</f>
        <v>Dark</v>
      </c>
      <c r="P700" t="str">
        <f>_xlfn.XLOOKUP(Orders[[#This Row],[Customer ID]],customers!$A$1:$A$1001,customers!$I$1:$I$1001,,0)</f>
        <v>No</v>
      </c>
    </row>
    <row r="701" spans="1:16" x14ac:dyDescent="0.25">
      <c r="A701" s="2" t="s">
        <v>4439</v>
      </c>
      <c r="B701" s="3">
        <v>44298</v>
      </c>
      <c r="C701" s="2" t="s">
        <v>4440</v>
      </c>
      <c r="D701" t="s">
        <v>6158</v>
      </c>
      <c r="E701" s="2">
        <v>4</v>
      </c>
      <c r="F701" s="2" t="str">
        <f>_xlfn.XLOOKUP(orders!C701,customers!$A$2:$A$1001,customers!$B$2:$B$1001)</f>
        <v>Orland Tadman</v>
      </c>
      <c r="G701" s="2" t="str">
        <f>IF(_xlfn.XLOOKUP(C701,customers!$A$2:$A$1001,customers!$C$2:$C$1001,,)=0,"",_xlfn.XLOOKUP(C701,customers!$A$2:$A$1001,customers!$C$2:$C$1001,,))</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cm="1">
        <f t="array" ref="N701">_xlfn.IFS(I701="Rob","Robusta",I701="Exc","Excelsa",I701="Ara","Arabica",I701="Lib","Liberica")</f>
        <v>Arabica</v>
      </c>
      <c r="O701" t="str" cm="1">
        <f t="array" ref="O701">_xlfn.IFS(J701="M","Medium",J701="L","Light",J701="D","Dark")</f>
        <v>Dark</v>
      </c>
      <c r="P701" t="str">
        <f>_xlfn.XLOOKUP(Orders[[#This Row],[Customer ID]],customers!$A$1:$A$1001,customers!$I$1:$I$1001,,0)</f>
        <v>Yes</v>
      </c>
    </row>
    <row r="702" spans="1:16" x14ac:dyDescent="0.25">
      <c r="A702" s="2" t="s">
        <v>4445</v>
      </c>
      <c r="B702" s="3">
        <v>43736</v>
      </c>
      <c r="C702" s="2" t="s">
        <v>4446</v>
      </c>
      <c r="D702" t="s">
        <v>6161</v>
      </c>
      <c r="E702" s="2">
        <v>2</v>
      </c>
      <c r="F702" s="2" t="str">
        <f>_xlfn.XLOOKUP(orders!C702,customers!$A$2:$A$1001,customers!$B$2:$B$1001)</f>
        <v>Barrett Gudde</v>
      </c>
      <c r="G702" s="2" t="str">
        <f>IF(_xlfn.XLOOKUP(C702,customers!$A$2:$A$1001,customers!$C$2:$C$1001,,)=0,"",_xlfn.XLOOKUP(C702,customers!$A$2:$A$1001,customers!$C$2:$C$1001,,))</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cm="1">
        <f t="array" ref="N702">_xlfn.IFS(I702="Rob","Robusta",I702="Exc","Excelsa",I702="Ara","Arabica",I702="Lib","Liberica")</f>
        <v>Liberica</v>
      </c>
      <c r="O702" t="str" cm="1">
        <f t="array" ref="O702">_xlfn.IFS(J702="M","Medium",J702="L","Light",J702="D","Dark")</f>
        <v>Light</v>
      </c>
      <c r="P702" t="str">
        <f>_xlfn.XLOOKUP(Orders[[#This Row],[Customer ID]],customers!$A$1:$A$1001,customers!$I$1:$I$1001,,0)</f>
        <v>No</v>
      </c>
    </row>
    <row r="703" spans="1:16" x14ac:dyDescent="0.25">
      <c r="A703" s="2" t="s">
        <v>4450</v>
      </c>
      <c r="B703" s="3">
        <v>44727</v>
      </c>
      <c r="C703" s="2" t="s">
        <v>4451</v>
      </c>
      <c r="D703" t="s">
        <v>6158</v>
      </c>
      <c r="E703" s="2">
        <v>5</v>
      </c>
      <c r="F703" s="2" t="str">
        <f>_xlfn.XLOOKUP(orders!C703,customers!$A$2:$A$1001,customers!$B$2:$B$1001)</f>
        <v>Nathan Sictornes</v>
      </c>
      <c r="G703" s="2" t="str">
        <f>IF(_xlfn.XLOOKUP(C703,customers!$A$2:$A$1001,customers!$C$2:$C$1001,,)=0,"",_xlfn.XLOOKUP(C703,customers!$A$2:$A$1001,customers!$C$2:$C$1001,,))</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cm="1">
        <f t="array" ref="N703">_xlfn.IFS(I703="Rob","Robusta",I703="Exc","Excelsa",I703="Ara","Arabica",I703="Lib","Liberica")</f>
        <v>Arabica</v>
      </c>
      <c r="O703" t="str" cm="1">
        <f t="array" ref="O703">_xlfn.IFS(J703="M","Medium",J703="L","Light",J703="D","Dark")</f>
        <v>Dark</v>
      </c>
      <c r="P703" t="str">
        <f>_xlfn.XLOOKUP(Orders[[#This Row],[Customer ID]],customers!$A$1:$A$1001,customers!$I$1:$I$1001,,0)</f>
        <v>Yes</v>
      </c>
    </row>
    <row r="704" spans="1:16" x14ac:dyDescent="0.25">
      <c r="A704" s="2" t="s">
        <v>4456</v>
      </c>
      <c r="B704" s="3">
        <v>43661</v>
      </c>
      <c r="C704" s="2" t="s">
        <v>4457</v>
      </c>
      <c r="D704" t="s">
        <v>6180</v>
      </c>
      <c r="E704" s="2">
        <v>1</v>
      </c>
      <c r="F704" s="2" t="str">
        <f>_xlfn.XLOOKUP(orders!C704,customers!$A$2:$A$1001,customers!$B$2:$B$1001)</f>
        <v>Vivyan Dunning</v>
      </c>
      <c r="G704" s="2" t="str">
        <f>IF(_xlfn.XLOOKUP(C704,customers!$A$2:$A$1001,customers!$C$2:$C$1001,,)=0,"",_xlfn.XLOOKUP(C704,customers!$A$2:$A$1001,customers!$C$2:$C$1001,,))</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cm="1">
        <f t="array" ref="N704">_xlfn.IFS(I704="Rob","Robusta",I704="Exc","Excelsa",I704="Ara","Arabica",I704="Lib","Liberica")</f>
        <v>Arabica</v>
      </c>
      <c r="O704" t="str" cm="1">
        <f t="array" ref="O704">_xlfn.IFS(J704="M","Medium",J704="L","Light",J704="D","Dark")</f>
        <v>Light</v>
      </c>
      <c r="P704" t="str">
        <f>_xlfn.XLOOKUP(Orders[[#This Row],[Customer ID]],customers!$A$1:$A$1001,customers!$I$1:$I$1001,,0)</f>
        <v>Yes</v>
      </c>
    </row>
    <row r="705" spans="1:16" x14ac:dyDescent="0.25">
      <c r="A705" s="2" t="s">
        <v>4461</v>
      </c>
      <c r="B705" s="3">
        <v>43506</v>
      </c>
      <c r="C705" s="2" t="s">
        <v>4462</v>
      </c>
      <c r="D705" t="s">
        <v>6165</v>
      </c>
      <c r="E705" s="2">
        <v>4</v>
      </c>
      <c r="F705" s="2" t="str">
        <f>_xlfn.XLOOKUP(orders!C705,customers!$A$2:$A$1001,customers!$B$2:$B$1001)</f>
        <v>Doralin Baison</v>
      </c>
      <c r="G705" s="2" t="str">
        <f>IF(_xlfn.XLOOKUP(C705,customers!$A$2:$A$1001,customers!$C$2:$C$1001,,)=0,"",_xlfn.XLOOKUP(C705,customers!$A$2:$A$1001,customers!$C$2:$C$1001,,))</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cm="1">
        <f t="array" ref="N705">_xlfn.IFS(I705="Rob","Robusta",I705="Exc","Excelsa",I705="Ara","Arabica",I705="Lib","Liberica")</f>
        <v>Liberica</v>
      </c>
      <c r="O705" t="str" cm="1">
        <f t="array" ref="O705">_xlfn.IFS(J705="M","Medium",J705="L","Light",J705="D","Dark")</f>
        <v>Dark</v>
      </c>
      <c r="P705" t="str">
        <f>_xlfn.XLOOKUP(Orders[[#This Row],[Customer ID]],customers!$A$1:$A$1001,customers!$I$1:$I$1001,,0)</f>
        <v>Yes</v>
      </c>
    </row>
    <row r="706" spans="1:16" x14ac:dyDescent="0.25">
      <c r="A706" s="2" t="s">
        <v>4466</v>
      </c>
      <c r="B706" s="3">
        <v>44716</v>
      </c>
      <c r="C706" s="2" t="s">
        <v>4467</v>
      </c>
      <c r="D706" t="s">
        <v>6153</v>
      </c>
      <c r="E706" s="2">
        <v>6</v>
      </c>
      <c r="F706" s="2" t="str">
        <f>_xlfn.XLOOKUP(orders!C706,customers!$A$2:$A$1001,customers!$B$2:$B$1001)</f>
        <v>Josefina Ferens</v>
      </c>
      <c r="G706" s="2" t="str">
        <f>IF(_xlfn.XLOOKUP(C706,customers!$A$2:$A$1001,customers!$C$2:$C$1001,,)=0,"",_xlfn.XLOOKUP(C706,customers!$A$2:$A$1001,customers!$C$2:$C$1001,,))</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cm="1">
        <f t="array" ref="N706">_xlfn.IFS(I706="Rob","Robusta",I706="Exc","Excelsa",I706="Ara","Arabica",I706="Lib","Liberica")</f>
        <v>Excelsa</v>
      </c>
      <c r="O706" t="str" cm="1">
        <f t="array" ref="O706">_xlfn.IFS(J706="M","Medium",J706="L","Light",J706="D","Dark")</f>
        <v>Dark</v>
      </c>
      <c r="P706" t="str">
        <f>_xlfn.XLOOKUP(Orders[[#This Row],[Customer ID]],customers!$A$1:$A$1001,customers!$I$1:$I$1001,,0)</f>
        <v>Yes</v>
      </c>
    </row>
    <row r="707" spans="1:16" x14ac:dyDescent="0.25">
      <c r="A707" s="2" t="s">
        <v>4471</v>
      </c>
      <c r="B707" s="3">
        <v>44114</v>
      </c>
      <c r="C707" s="2" t="s">
        <v>4472</v>
      </c>
      <c r="D707" t="s">
        <v>6176</v>
      </c>
      <c r="E707" s="2">
        <v>2</v>
      </c>
      <c r="F707" s="2" t="str">
        <f>_xlfn.XLOOKUP(orders!C707,customers!$A$2:$A$1001,customers!$B$2:$B$1001)</f>
        <v>Shelley Gehring</v>
      </c>
      <c r="G707" s="2" t="str">
        <f>IF(_xlfn.XLOOKUP(C707,customers!$A$2:$A$1001,customers!$C$2:$C$1001,,)=0,"",_xlfn.XLOOKUP(C707,customers!$A$2:$A$1001,customers!$C$2:$C$1001,,))</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L707*E707</f>
        <v>17.82</v>
      </c>
      <c r="N707" t="str" cm="1">
        <f t="array" ref="N707">_xlfn.IFS(I707="Rob","Robusta",I707="Exc","Excelsa",I707="Ara","Arabica",I707="Lib","Liberica")</f>
        <v>Excelsa</v>
      </c>
      <c r="O707" t="str" cm="1">
        <f t="array" ref="O707">_xlfn.IFS(J707="M","Medium",J707="L","Light",J707="D","Dark")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_xlfn.XLOOKUP(orders!C708,customers!$A$2:$A$1001,customers!$B$2:$B$1001)</f>
        <v>Barrie Fallowes</v>
      </c>
      <c r="G708" s="2" t="str">
        <f>IF(_xlfn.XLOOKUP(C708,customers!$A$2:$A$1001,customers!$C$2:$C$1001,,)=0,"",_xlfn.XLOOKUP(C708,customers!$A$2:$A$1001,customers!$C$2:$C$1001,,))</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cm="1">
        <f t="array" ref="N708">_xlfn.IFS(I708="Rob","Robusta",I708="Exc","Excelsa",I708="Ara","Arabica",I708="Lib","Liberica")</f>
        <v>Excelsa</v>
      </c>
      <c r="O708" t="str" cm="1">
        <f t="array" ref="O708">_xlfn.IFS(J708="M","Medium",J708="L","Light",J708="D","Dark")</f>
        <v>Medium</v>
      </c>
      <c r="P708" t="str">
        <f>_xlfn.XLOOKUP(Orders[[#This Row],[Customer ID]],customers!$A$1:$A$1001,customers!$I$1:$I$1001,,0)</f>
        <v>No</v>
      </c>
    </row>
    <row r="709" spans="1:16" x14ac:dyDescent="0.25">
      <c r="A709" s="2" t="s">
        <v>4483</v>
      </c>
      <c r="B709" s="3">
        <v>43540</v>
      </c>
      <c r="C709" s="2" t="s">
        <v>4484</v>
      </c>
      <c r="D709" t="s">
        <v>6143</v>
      </c>
      <c r="E709" s="2">
        <v>2</v>
      </c>
      <c r="F709" s="2" t="str">
        <f>_xlfn.XLOOKUP(orders!C709,customers!$A$2:$A$1001,customers!$B$2:$B$1001)</f>
        <v>Nicolas Aiton</v>
      </c>
      <c r="G709" s="2" t="str">
        <f>IF(_xlfn.XLOOKUP(C709,customers!$A$2:$A$1001,customers!$C$2:$C$1001,,)=0,"",_xlfn.XLOOKUP(C709,customers!$A$2:$A$1001,customers!$C$2:$C$1001,,))</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cm="1">
        <f t="array" ref="N709">_xlfn.IFS(I709="Rob","Robusta",I709="Exc","Excelsa",I709="Ara","Arabica",I709="Lib","Liberica")</f>
        <v>Liberica</v>
      </c>
      <c r="O709" t="str" cm="1">
        <f t="array" ref="O709">_xlfn.IFS(J709="M","Medium",J709="L","Light",J709="D","Dark")</f>
        <v>Dark</v>
      </c>
      <c r="P709" t="str">
        <f>_xlfn.XLOOKUP(Orders[[#This Row],[Customer ID]],customers!$A$1:$A$1001,customers!$I$1:$I$1001,,0)</f>
        <v>No</v>
      </c>
    </row>
    <row r="710" spans="1:16" x14ac:dyDescent="0.25">
      <c r="A710" s="2" t="s">
        <v>4488</v>
      </c>
      <c r="B710" s="3">
        <v>43804</v>
      </c>
      <c r="C710" s="2" t="s">
        <v>4489</v>
      </c>
      <c r="D710" t="s">
        <v>6157</v>
      </c>
      <c r="E710" s="2">
        <v>2</v>
      </c>
      <c r="F710" s="2" t="str">
        <f>_xlfn.XLOOKUP(orders!C710,customers!$A$2:$A$1001,customers!$B$2:$B$1001)</f>
        <v>Shelli De Banke</v>
      </c>
      <c r="G710" s="2" t="str">
        <f>IF(_xlfn.XLOOKUP(C710,customers!$A$2:$A$1001,customers!$C$2:$C$1001,,)=0,"",_xlfn.XLOOKUP(C710,customers!$A$2:$A$1001,customers!$C$2:$C$1001,,))</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cm="1">
        <f t="array" ref="N710">_xlfn.IFS(I710="Rob","Robusta",I710="Exc","Excelsa",I710="Ara","Arabica",I710="Lib","Liberica")</f>
        <v>Arabica</v>
      </c>
      <c r="O710" t="str" cm="1">
        <f t="array" ref="O710">_xlfn.IFS(J710="M","Medium",J710="L","Light",J710="D","Dark")</f>
        <v>Medium</v>
      </c>
      <c r="P710" t="str">
        <f>_xlfn.XLOOKUP(Orders[[#This Row],[Customer ID]],customers!$A$1:$A$1001,customers!$I$1:$I$1001,,0)</f>
        <v>Yes</v>
      </c>
    </row>
    <row r="711" spans="1:16" x14ac:dyDescent="0.25">
      <c r="A711" s="2" t="s">
        <v>4494</v>
      </c>
      <c r="B711" s="3">
        <v>43485</v>
      </c>
      <c r="C711" s="2" t="s">
        <v>4495</v>
      </c>
      <c r="D711" t="s">
        <v>6176</v>
      </c>
      <c r="E711" s="2">
        <v>2</v>
      </c>
      <c r="F711" s="2" t="str">
        <f>_xlfn.XLOOKUP(orders!C711,customers!$A$2:$A$1001,customers!$B$2:$B$1001)</f>
        <v>Lyell Murch</v>
      </c>
      <c r="G711" s="2" t="str">
        <f>IF(_xlfn.XLOOKUP(C711,customers!$A$2:$A$1001,customers!$C$2:$C$1001,,)=0,"",_xlfn.XLOOKUP(C711,customers!$A$2:$A$1001,customers!$C$2:$C$1001,,))</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cm="1">
        <f t="array" ref="N711">_xlfn.IFS(I711="Rob","Robusta",I711="Exc","Excelsa",I711="Ara","Arabica",I711="Lib","Liberica")</f>
        <v>Excelsa</v>
      </c>
      <c r="O711" t="str" cm="1">
        <f t="array" ref="O711">_xlfn.IFS(J711="M","Medium",J711="L","Light",J711="D","Dark")</f>
        <v>Light</v>
      </c>
      <c r="P711" t="str">
        <f>_xlfn.XLOOKUP(Orders[[#This Row],[Customer ID]],customers!$A$1:$A$1001,customers!$I$1:$I$1001,,0)</f>
        <v>Yes</v>
      </c>
    </row>
    <row r="712" spans="1:16" x14ac:dyDescent="0.25">
      <c r="A712" s="2" t="s">
        <v>4499</v>
      </c>
      <c r="B712" s="3">
        <v>44655</v>
      </c>
      <c r="C712" s="2" t="s">
        <v>4500</v>
      </c>
      <c r="D712" t="s">
        <v>6139</v>
      </c>
      <c r="E712" s="2">
        <v>3</v>
      </c>
      <c r="F712" s="2" t="str">
        <f>_xlfn.XLOOKUP(orders!C712,customers!$A$2:$A$1001,customers!$B$2:$B$1001)</f>
        <v>Stearne Count</v>
      </c>
      <c r="G712" s="2" t="str">
        <f>IF(_xlfn.XLOOKUP(C712,customers!$A$2:$A$1001,customers!$C$2:$C$1001,,)=0,"",_xlfn.XLOOKUP(C712,customers!$A$2:$A$1001,customers!$C$2:$C$1001,,))</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cm="1">
        <f t="array" ref="N712">_xlfn.IFS(I712="Rob","Robusta",I712="Exc","Excelsa",I712="Ara","Arabica",I712="Lib","Liberica")</f>
        <v>Excelsa</v>
      </c>
      <c r="O712" t="str" cm="1">
        <f t="array" ref="O712">_xlfn.IFS(J712="M","Medium",J712="L","Light",J712="D","Dark")</f>
        <v>Medium</v>
      </c>
      <c r="P712" t="str">
        <f>_xlfn.XLOOKUP(Orders[[#This Row],[Customer ID]],customers!$A$1:$A$1001,customers!$I$1:$I$1001,,0)</f>
        <v>No</v>
      </c>
    </row>
    <row r="713" spans="1:16" x14ac:dyDescent="0.25">
      <c r="A713" s="2" t="s">
        <v>4505</v>
      </c>
      <c r="B713" s="3">
        <v>44600</v>
      </c>
      <c r="C713" s="2" t="s">
        <v>4506</v>
      </c>
      <c r="D713" t="s">
        <v>6174</v>
      </c>
      <c r="E713" s="2">
        <v>6</v>
      </c>
      <c r="F713" s="2" t="str">
        <f>_xlfn.XLOOKUP(orders!C713,customers!$A$2:$A$1001,customers!$B$2:$B$1001)</f>
        <v>Selia Ragles</v>
      </c>
      <c r="G713" s="2" t="str">
        <f>IF(_xlfn.XLOOKUP(C713,customers!$A$2:$A$1001,customers!$C$2:$C$1001,,)=0,"",_xlfn.XLOOKUP(C713,customers!$A$2:$A$1001,customers!$C$2:$C$1001,,))</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cm="1">
        <f t="array" ref="N713">_xlfn.IFS(I713="Rob","Robusta",I713="Exc","Excelsa",I713="Ara","Arabica",I713="Lib","Liberica")</f>
        <v>Robusta</v>
      </c>
      <c r="O713" t="str" cm="1">
        <f t="array" ref="O713">_xlfn.IFS(J713="M","Medium",J713="L","Light",J713="D","Dark")</f>
        <v>Medium</v>
      </c>
      <c r="P713" t="str">
        <f>_xlfn.XLOOKUP(Orders[[#This Row],[Customer ID]],customers!$A$1:$A$1001,customers!$I$1:$I$1001,,0)</f>
        <v>No</v>
      </c>
    </row>
    <row r="714" spans="1:16" x14ac:dyDescent="0.25">
      <c r="A714" s="2" t="s">
        <v>4512</v>
      </c>
      <c r="B714" s="3">
        <v>43646</v>
      </c>
      <c r="C714" s="2" t="s">
        <v>4513</v>
      </c>
      <c r="D714" t="s">
        <v>6139</v>
      </c>
      <c r="E714" s="2">
        <v>2</v>
      </c>
      <c r="F714" s="2" t="str">
        <f>_xlfn.XLOOKUP(orders!C714,customers!$A$2:$A$1001,customers!$B$2:$B$1001)</f>
        <v>Silas Deehan</v>
      </c>
      <c r="G714" s="2" t="str">
        <f>IF(_xlfn.XLOOKUP(C714,customers!$A$2:$A$1001,customers!$C$2:$C$1001,,)=0,"",_xlfn.XLOOKUP(C714,customers!$A$2:$A$1001,customers!$C$2:$C$1001,,))</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cm="1">
        <f t="array" ref="N714">_xlfn.IFS(I714="Rob","Robusta",I714="Exc","Excelsa",I714="Ara","Arabica",I714="Lib","Liberica")</f>
        <v>Excelsa</v>
      </c>
      <c r="O714" t="str" cm="1">
        <f t="array" ref="O714">_xlfn.IFS(J714="M","Medium",J714="L","Light",J714="D","Dark")</f>
        <v>Medium</v>
      </c>
      <c r="P714" t="str">
        <f>_xlfn.XLOOKUP(Orders[[#This Row],[Customer ID]],customers!$A$1:$A$1001,customers!$I$1:$I$1001,,0)</f>
        <v>No</v>
      </c>
    </row>
    <row r="715" spans="1:16" x14ac:dyDescent="0.25">
      <c r="A715" s="2" t="s">
        <v>4516</v>
      </c>
      <c r="B715" s="3">
        <v>43960</v>
      </c>
      <c r="C715" s="2" t="s">
        <v>4517</v>
      </c>
      <c r="D715" t="s">
        <v>6174</v>
      </c>
      <c r="E715" s="2">
        <v>1</v>
      </c>
      <c r="F715" s="2" t="str">
        <f>_xlfn.XLOOKUP(orders!C715,customers!$A$2:$A$1001,customers!$B$2:$B$1001)</f>
        <v>Sacha Bruun</v>
      </c>
      <c r="G715" s="2" t="str">
        <f>IF(_xlfn.XLOOKUP(C715,customers!$A$2:$A$1001,customers!$C$2:$C$1001,,)=0,"",_xlfn.XLOOKUP(C715,customers!$A$2:$A$1001,customers!$C$2:$C$1001,,))</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cm="1">
        <f t="array" ref="N715">_xlfn.IFS(I715="Rob","Robusta",I715="Exc","Excelsa",I715="Ara","Arabica",I715="Lib","Liberica")</f>
        <v>Robusta</v>
      </c>
      <c r="O715" t="str" cm="1">
        <f t="array" ref="O715">_xlfn.IFS(J715="M","Medium",J715="L","Light",J715="D","Dark")</f>
        <v>Medium</v>
      </c>
      <c r="P715" t="str">
        <f>_xlfn.XLOOKUP(Orders[[#This Row],[Customer ID]],customers!$A$1:$A$1001,customers!$I$1:$I$1001,,0)</f>
        <v>No</v>
      </c>
    </row>
    <row r="716" spans="1:16" x14ac:dyDescent="0.25">
      <c r="A716" s="2" t="s">
        <v>4522</v>
      </c>
      <c r="B716" s="3">
        <v>44358</v>
      </c>
      <c r="C716" s="2" t="s">
        <v>4523</v>
      </c>
      <c r="D716" t="s">
        <v>6153</v>
      </c>
      <c r="E716" s="2">
        <v>4</v>
      </c>
      <c r="F716" s="2" t="str">
        <f>_xlfn.XLOOKUP(orders!C716,customers!$A$2:$A$1001,customers!$B$2:$B$1001)</f>
        <v>Alon Pllu</v>
      </c>
      <c r="G716" s="2" t="str">
        <f>IF(_xlfn.XLOOKUP(C716,customers!$A$2:$A$1001,customers!$C$2:$C$1001,,)=0,"",_xlfn.XLOOKUP(C716,customers!$A$2:$A$1001,customers!$C$2:$C$1001,,))</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cm="1">
        <f t="array" ref="N716">_xlfn.IFS(I716="Rob","Robusta",I716="Exc","Excelsa",I716="Ara","Arabica",I716="Lib","Liberica")</f>
        <v>Excelsa</v>
      </c>
      <c r="O716" t="str" cm="1">
        <f t="array" ref="O716">_xlfn.IFS(J716="M","Medium",J716="L","Light",J716="D","Dark")</f>
        <v>Dark</v>
      </c>
      <c r="P716" t="str">
        <f>_xlfn.XLOOKUP(Orders[[#This Row],[Customer ID]],customers!$A$1:$A$1001,customers!$I$1:$I$1001,,0)</f>
        <v>Yes</v>
      </c>
    </row>
    <row r="717" spans="1:16" x14ac:dyDescent="0.25">
      <c r="A717" s="2" t="s">
        <v>4528</v>
      </c>
      <c r="B717" s="3">
        <v>44504</v>
      </c>
      <c r="C717" s="2" t="s">
        <v>4529</v>
      </c>
      <c r="D717" t="s">
        <v>6171</v>
      </c>
      <c r="E717" s="2">
        <v>6</v>
      </c>
      <c r="F717" s="2" t="str">
        <f>_xlfn.XLOOKUP(orders!C717,customers!$A$2:$A$1001,customers!$B$2:$B$1001)</f>
        <v>Gilberto Cornier</v>
      </c>
      <c r="G717" s="2" t="str">
        <f>IF(_xlfn.XLOOKUP(C717,customers!$A$2:$A$1001,customers!$C$2:$C$1001,,)=0,"",_xlfn.XLOOKUP(C717,customers!$A$2:$A$1001,customers!$C$2:$C$1001,,))</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cm="1">
        <f t="array" ref="N717">_xlfn.IFS(I717="Rob","Robusta",I717="Exc","Excelsa",I717="Ara","Arabica",I717="Lib","Liberica")</f>
        <v>Excelsa</v>
      </c>
      <c r="O717" t="str" cm="1">
        <f t="array" ref="O717">_xlfn.IFS(J717="M","Medium",J717="L","Light",J717="D","Dark")</f>
        <v>Light</v>
      </c>
      <c r="P717" t="str">
        <f>_xlfn.XLOOKUP(Orders[[#This Row],[Customer ID]],customers!$A$1:$A$1001,customers!$I$1:$I$1001,,0)</f>
        <v>No</v>
      </c>
    </row>
    <row r="718" spans="1:16" x14ac:dyDescent="0.25">
      <c r="A718" s="2" t="s">
        <v>4533</v>
      </c>
      <c r="B718" s="3">
        <v>44612</v>
      </c>
      <c r="C718" s="2" t="s">
        <v>4434</v>
      </c>
      <c r="D718" t="s">
        <v>6179</v>
      </c>
      <c r="E718" s="2">
        <v>3</v>
      </c>
      <c r="F718" s="2" t="str">
        <f>_xlfn.XLOOKUP(orders!C718,customers!$A$2:$A$1001,customers!$B$2:$B$1001)</f>
        <v>Jimmy Dymoke</v>
      </c>
      <c r="G718" s="2" t="str">
        <f>IF(_xlfn.XLOOKUP(C718,customers!$A$2:$A$1001,customers!$C$2:$C$1001,,)=0,"",_xlfn.XLOOKUP(C718,customers!$A$2:$A$1001,customers!$C$2:$C$1001,,))</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cm="1">
        <f t="array" ref="N718">_xlfn.IFS(I718="Rob","Robusta",I718="Exc","Excelsa",I718="Ara","Arabica",I718="Lib","Liberica")</f>
        <v>Robusta</v>
      </c>
      <c r="O718" t="str" cm="1">
        <f t="array" ref="O718">_xlfn.IFS(J718="M","Medium",J718="L","Light",J718="D","Dark")</f>
        <v>Light</v>
      </c>
      <c r="P718" t="str">
        <f>_xlfn.XLOOKUP(Orders[[#This Row],[Customer ID]],customers!$A$1:$A$1001,customers!$I$1:$I$1001,,0)</f>
        <v>No</v>
      </c>
    </row>
    <row r="719" spans="1:16" x14ac:dyDescent="0.25">
      <c r="A719" s="2" t="s">
        <v>4539</v>
      </c>
      <c r="B719" s="3">
        <v>43649</v>
      </c>
      <c r="C719" s="2" t="s">
        <v>4540</v>
      </c>
      <c r="D719" t="s">
        <v>6168</v>
      </c>
      <c r="E719" s="2">
        <v>3</v>
      </c>
      <c r="F719" s="2" t="str">
        <f>_xlfn.XLOOKUP(orders!C719,customers!$A$2:$A$1001,customers!$B$2:$B$1001)</f>
        <v>Willabella Harvison</v>
      </c>
      <c r="G719" s="2" t="str">
        <f>IF(_xlfn.XLOOKUP(C719,customers!$A$2:$A$1001,customers!$C$2:$C$1001,,)=0,"",_xlfn.XLOOKUP(C719,customers!$A$2:$A$1001,customers!$C$2:$C$1001,,))</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cm="1">
        <f t="array" ref="N719">_xlfn.IFS(I719="Rob","Robusta",I719="Exc","Excelsa",I719="Ara","Arabica",I719="Lib","Liberica")</f>
        <v>Arabica</v>
      </c>
      <c r="O719" t="str" cm="1">
        <f t="array" ref="O719">_xlfn.IFS(J719="M","Medium",J719="L","Light",J719="D","Dark")</f>
        <v>Dark</v>
      </c>
      <c r="P719" t="str">
        <f>_xlfn.XLOOKUP(Orders[[#This Row],[Customer ID]],customers!$A$1:$A$1001,customers!$I$1:$I$1001,,0)</f>
        <v>No</v>
      </c>
    </row>
    <row r="720" spans="1:16" x14ac:dyDescent="0.25">
      <c r="A720" s="2" t="s">
        <v>4545</v>
      </c>
      <c r="B720" s="3">
        <v>44348</v>
      </c>
      <c r="C720" s="2" t="s">
        <v>4546</v>
      </c>
      <c r="D720" t="s">
        <v>6143</v>
      </c>
      <c r="E720" s="2">
        <v>3</v>
      </c>
      <c r="F720" s="2" t="str">
        <f>_xlfn.XLOOKUP(orders!C720,customers!$A$2:$A$1001,customers!$B$2:$B$1001)</f>
        <v>Darice Heaford</v>
      </c>
      <c r="G720" s="2" t="str">
        <f>IF(_xlfn.XLOOKUP(C720,customers!$A$2:$A$1001,customers!$C$2:$C$1001,,)=0,"",_xlfn.XLOOKUP(C720,customers!$A$2:$A$1001,customers!$C$2:$C$1001,,))</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cm="1">
        <f t="array" ref="N720">_xlfn.IFS(I720="Rob","Robusta",I720="Exc","Excelsa",I720="Ara","Arabica",I720="Lib","Liberica")</f>
        <v>Liberica</v>
      </c>
      <c r="O720" t="str" cm="1">
        <f t="array" ref="O720">_xlfn.IFS(J720="M","Medium",J720="L","Light",J720="D","Dark")</f>
        <v>Dark</v>
      </c>
      <c r="P720" t="str">
        <f>_xlfn.XLOOKUP(Orders[[#This Row],[Customer ID]],customers!$A$1:$A$1001,customers!$I$1:$I$1001,,0)</f>
        <v>No</v>
      </c>
    </row>
    <row r="721" spans="1:16" x14ac:dyDescent="0.25">
      <c r="A721" s="2" t="s">
        <v>4551</v>
      </c>
      <c r="B721" s="3">
        <v>44150</v>
      </c>
      <c r="C721" s="2" t="s">
        <v>4552</v>
      </c>
      <c r="D721" t="s">
        <v>6170</v>
      </c>
      <c r="E721" s="2">
        <v>5</v>
      </c>
      <c r="F721" s="2" t="str">
        <f>_xlfn.XLOOKUP(orders!C721,customers!$A$2:$A$1001,customers!$B$2:$B$1001)</f>
        <v>Granger Fantham</v>
      </c>
      <c r="G721" s="2" t="str">
        <f>IF(_xlfn.XLOOKUP(C721,customers!$A$2:$A$1001,customers!$C$2:$C$1001,,)=0,"",_xlfn.XLOOKUP(C721,customers!$A$2:$A$1001,customers!$C$2:$C$1001,,))</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cm="1">
        <f t="array" ref="N721">_xlfn.IFS(I721="Rob","Robusta",I721="Exc","Excelsa",I721="Ara","Arabica",I721="Lib","Liberica")</f>
        <v>Liberica</v>
      </c>
      <c r="O721" t="str" cm="1">
        <f t="array" ref="O721">_xlfn.IFS(J721="M","Medium",J721="L","Light",J721="D","Dark")</f>
        <v>Light</v>
      </c>
      <c r="P721" t="str">
        <f>_xlfn.XLOOKUP(Orders[[#This Row],[Customer ID]],customers!$A$1:$A$1001,customers!$I$1:$I$1001,,0)</f>
        <v>Yes</v>
      </c>
    </row>
    <row r="722" spans="1:16" x14ac:dyDescent="0.25">
      <c r="A722" s="2" t="s">
        <v>4557</v>
      </c>
      <c r="B722" s="3">
        <v>44215</v>
      </c>
      <c r="C722" s="2" t="s">
        <v>4558</v>
      </c>
      <c r="D722" t="s">
        <v>6144</v>
      </c>
      <c r="E722" s="2">
        <v>5</v>
      </c>
      <c r="F722" s="2" t="str">
        <f>_xlfn.XLOOKUP(orders!C722,customers!$A$2:$A$1001,customers!$B$2:$B$1001)</f>
        <v>Reynolds Crookshanks</v>
      </c>
      <c r="G722" s="2" t="str">
        <f>IF(_xlfn.XLOOKUP(C722,customers!$A$2:$A$1001,customers!$C$2:$C$1001,,)=0,"",_xlfn.XLOOKUP(C722,customers!$A$2:$A$1001,customers!$C$2:$C$1001,,))</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cm="1">
        <f t="array" ref="N722">_xlfn.IFS(I722="Rob","Robusta",I722="Exc","Excelsa",I722="Ara","Arabica",I722="Lib","Liberica")</f>
        <v>Excelsa</v>
      </c>
      <c r="O722" t="str" cm="1">
        <f t="array" ref="O722">_xlfn.IFS(J722="M","Medium",J722="L","Light",J722="D","Dark")</f>
        <v>Dark</v>
      </c>
      <c r="P722" t="str">
        <f>_xlfn.XLOOKUP(Orders[[#This Row],[Customer ID]],customers!$A$1:$A$1001,customers!$I$1:$I$1001,,0)</f>
        <v>Yes</v>
      </c>
    </row>
    <row r="723" spans="1:16" x14ac:dyDescent="0.25">
      <c r="A723" s="2" t="s">
        <v>4563</v>
      </c>
      <c r="B723" s="3">
        <v>44479</v>
      </c>
      <c r="C723" s="2" t="s">
        <v>4564</v>
      </c>
      <c r="D723" t="s">
        <v>6174</v>
      </c>
      <c r="E723" s="2">
        <v>3</v>
      </c>
      <c r="F723" s="2" t="str">
        <f>_xlfn.XLOOKUP(orders!C723,customers!$A$2:$A$1001,customers!$B$2:$B$1001)</f>
        <v>Niels Leake</v>
      </c>
      <c r="G723" s="2" t="str">
        <f>IF(_xlfn.XLOOKUP(C723,customers!$A$2:$A$1001,customers!$C$2:$C$1001,,)=0,"",_xlfn.XLOOKUP(C723,customers!$A$2:$A$1001,customers!$C$2:$C$1001,,))</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cm="1">
        <f t="array" ref="N723">_xlfn.IFS(I723="Rob","Robusta",I723="Exc","Excelsa",I723="Ara","Arabica",I723="Lib","Liberica")</f>
        <v>Robusta</v>
      </c>
      <c r="O723" t="str" cm="1">
        <f t="array" ref="O723">_xlfn.IFS(J723="M","Medium",J723="L","Light",J723="D","Dark")</f>
        <v>Medium</v>
      </c>
      <c r="P723" t="str">
        <f>_xlfn.XLOOKUP(Orders[[#This Row],[Customer ID]],customers!$A$1:$A$1001,customers!$I$1:$I$1001,,0)</f>
        <v>Yes</v>
      </c>
    </row>
    <row r="724" spans="1:16" x14ac:dyDescent="0.25">
      <c r="A724" s="2" t="s">
        <v>4569</v>
      </c>
      <c r="B724" s="3">
        <v>44620</v>
      </c>
      <c r="C724" s="2" t="s">
        <v>4570</v>
      </c>
      <c r="D724" t="s">
        <v>6183</v>
      </c>
      <c r="E724" s="2">
        <v>2</v>
      </c>
      <c r="F724" s="2" t="str">
        <f>_xlfn.XLOOKUP(orders!C724,customers!$A$2:$A$1001,customers!$B$2:$B$1001)</f>
        <v>Hetti Measures</v>
      </c>
      <c r="G724" s="2" t="str">
        <f>IF(_xlfn.XLOOKUP(C724,customers!$A$2:$A$1001,customers!$C$2:$C$1001,,)=0,"",_xlfn.XLOOKUP(C724,customers!$A$2:$A$1001,customers!$C$2:$C$1001,,))</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cm="1">
        <f t="array" ref="N724">_xlfn.IFS(I724="Rob","Robusta",I724="Exc","Excelsa",I724="Ara","Arabica",I724="Lib","Liberica")</f>
        <v>Excelsa</v>
      </c>
      <c r="O724" t="str" cm="1">
        <f t="array" ref="O724">_xlfn.IFS(J724="M","Medium",J724="L","Light",J724="D","Dark")</f>
        <v>Dark</v>
      </c>
      <c r="P724" t="str">
        <f>_xlfn.XLOOKUP(Orders[[#This Row],[Customer ID]],customers!$A$1:$A$1001,customers!$I$1:$I$1001,,0)</f>
        <v>No</v>
      </c>
    </row>
    <row r="725" spans="1:16" x14ac:dyDescent="0.25">
      <c r="A725" s="2" t="s">
        <v>4574</v>
      </c>
      <c r="B725" s="3">
        <v>44470</v>
      </c>
      <c r="C725" s="2" t="s">
        <v>4575</v>
      </c>
      <c r="D725" t="s">
        <v>6166</v>
      </c>
      <c r="E725" s="2">
        <v>2</v>
      </c>
      <c r="F725" s="2" t="str">
        <f>_xlfn.XLOOKUP(orders!C725,customers!$A$2:$A$1001,customers!$B$2:$B$1001)</f>
        <v>Gay Eilhersen</v>
      </c>
      <c r="G725" s="2" t="str">
        <f>IF(_xlfn.XLOOKUP(C725,customers!$A$2:$A$1001,customers!$C$2:$C$1001,,)=0,"",_xlfn.XLOOKUP(C725,customers!$A$2:$A$1001,customers!$C$2:$C$1001,,))</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cm="1">
        <f t="array" ref="N725">_xlfn.IFS(I725="Rob","Robusta",I725="Exc","Excelsa",I725="Ara","Arabica",I725="Lib","Liberica")</f>
        <v>Excelsa</v>
      </c>
      <c r="O725" t="str" cm="1">
        <f t="array" ref="O725">_xlfn.IFS(J725="M","Medium",J725="L","Light",J725="D","Dark")</f>
        <v>Medium</v>
      </c>
      <c r="P725" t="str">
        <f>_xlfn.XLOOKUP(Orders[[#This Row],[Customer ID]],customers!$A$1:$A$1001,customers!$I$1:$I$1001,,0)</f>
        <v>No</v>
      </c>
    </row>
    <row r="726" spans="1:16" x14ac:dyDescent="0.25">
      <c r="A726" s="2" t="s">
        <v>4580</v>
      </c>
      <c r="B726" s="3">
        <v>44076</v>
      </c>
      <c r="C726" s="2" t="s">
        <v>4581</v>
      </c>
      <c r="D726" t="s">
        <v>6152</v>
      </c>
      <c r="E726" s="2">
        <v>2</v>
      </c>
      <c r="F726" s="2" t="str">
        <f>_xlfn.XLOOKUP(orders!C726,customers!$A$2:$A$1001,customers!$B$2:$B$1001)</f>
        <v>Nico Hubert</v>
      </c>
      <c r="G726" s="2" t="str">
        <f>IF(_xlfn.XLOOKUP(C726,customers!$A$2:$A$1001,customers!$C$2:$C$1001,,)=0,"",_xlfn.XLOOKUP(C726,customers!$A$2:$A$1001,customers!$C$2:$C$1001,,))</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cm="1">
        <f t="array" ref="N726">_xlfn.IFS(I726="Rob","Robusta",I726="Exc","Excelsa",I726="Ara","Arabica",I726="Lib","Liberica")</f>
        <v>Arabica</v>
      </c>
      <c r="O726" t="str" cm="1">
        <f t="array" ref="O726">_xlfn.IFS(J726="M","Medium",J726="L","Light",J726="D","Dark")</f>
        <v>Medium</v>
      </c>
      <c r="P726" t="str">
        <f>_xlfn.XLOOKUP(Orders[[#This Row],[Customer ID]],customers!$A$1:$A$1001,customers!$I$1:$I$1001,,0)</f>
        <v>Yes</v>
      </c>
    </row>
    <row r="727" spans="1:16" x14ac:dyDescent="0.25">
      <c r="A727" s="2" t="s">
        <v>4585</v>
      </c>
      <c r="B727" s="3">
        <v>44043</v>
      </c>
      <c r="C727" s="2" t="s">
        <v>4586</v>
      </c>
      <c r="D727" t="s">
        <v>6167</v>
      </c>
      <c r="E727" s="2">
        <v>6</v>
      </c>
      <c r="F727" s="2" t="str">
        <f>_xlfn.XLOOKUP(orders!C727,customers!$A$2:$A$1001,customers!$B$2:$B$1001)</f>
        <v>Cristina Aleixo</v>
      </c>
      <c r="G727" s="2" t="str">
        <f>IF(_xlfn.XLOOKUP(C727,customers!$A$2:$A$1001,customers!$C$2:$C$1001,,)=0,"",_xlfn.XLOOKUP(C727,customers!$A$2:$A$1001,customers!$C$2:$C$1001,,))</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cm="1">
        <f t="array" ref="N727">_xlfn.IFS(I727="Rob","Robusta",I727="Exc","Excelsa",I727="Ara","Arabica",I727="Lib","Liberica")</f>
        <v>Arabica</v>
      </c>
      <c r="O727" t="str" cm="1">
        <f t="array" ref="O727">_xlfn.IFS(J727="M","Medium",J727="L","Light",J727="D","Dark")</f>
        <v>Light</v>
      </c>
      <c r="P727" t="str">
        <f>_xlfn.XLOOKUP(Orders[[#This Row],[Customer ID]],customers!$A$1:$A$1001,customers!$I$1:$I$1001,,0)</f>
        <v>No</v>
      </c>
    </row>
    <row r="728" spans="1:16" x14ac:dyDescent="0.25">
      <c r="A728" s="2" t="s">
        <v>4591</v>
      </c>
      <c r="B728" s="3">
        <v>44571</v>
      </c>
      <c r="C728" s="2" t="s">
        <v>4592</v>
      </c>
      <c r="D728" t="s">
        <v>6164</v>
      </c>
      <c r="E728" s="2">
        <v>4</v>
      </c>
      <c r="F728" s="2" t="str">
        <f>_xlfn.XLOOKUP(orders!C728,customers!$A$2:$A$1001,customers!$B$2:$B$1001)</f>
        <v>Derrek Allpress</v>
      </c>
      <c r="G728" s="2" t="str">
        <f>IF(_xlfn.XLOOKUP(C728,customers!$A$2:$A$1001,customers!$C$2:$C$1001,,)=0,"",_xlfn.XLOOKUP(C728,customers!$A$2:$A$1001,customers!$C$2:$C$1001,,))</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cm="1">
        <f t="array" ref="N728">_xlfn.IFS(I728="Rob","Robusta",I728="Exc","Excelsa",I728="Ara","Arabica",I728="Lib","Liberica")</f>
        <v>Liberica</v>
      </c>
      <c r="O728" t="str" cm="1">
        <f t="array" ref="O728">_xlfn.IFS(J728="M","Medium",J728="L","Light",J728="D","Dark")</f>
        <v>Light</v>
      </c>
      <c r="P728" t="str">
        <f>_xlfn.XLOOKUP(Orders[[#This Row],[Customer ID]],customers!$A$1:$A$1001,customers!$I$1:$I$1001,,0)</f>
        <v>No</v>
      </c>
    </row>
    <row r="729" spans="1:16" x14ac:dyDescent="0.25">
      <c r="A729" s="2" t="s">
        <v>4596</v>
      </c>
      <c r="B729" s="3">
        <v>44264</v>
      </c>
      <c r="C729" s="2" t="s">
        <v>4597</v>
      </c>
      <c r="D729" t="s">
        <v>6146</v>
      </c>
      <c r="E729" s="2">
        <v>5</v>
      </c>
      <c r="F729" s="2" t="str">
        <f>_xlfn.XLOOKUP(orders!C729,customers!$A$2:$A$1001,customers!$B$2:$B$1001)</f>
        <v>Rikki Tomkowicz</v>
      </c>
      <c r="G729" s="2" t="str">
        <f>IF(_xlfn.XLOOKUP(C729,customers!$A$2:$A$1001,customers!$C$2:$C$1001,,)=0,"",_xlfn.XLOOKUP(C729,customers!$A$2:$A$1001,customers!$C$2:$C$1001,,))</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cm="1">
        <f t="array" ref="N729">_xlfn.IFS(I729="Rob","Robusta",I729="Exc","Excelsa",I729="Ara","Arabica",I729="Lib","Liberica")</f>
        <v>Robusta</v>
      </c>
      <c r="O729" t="str" cm="1">
        <f t="array" ref="O729">_xlfn.IFS(J729="M","Medium",J729="L","Light",J729="D","Dark")</f>
        <v>Medium</v>
      </c>
      <c r="P729" t="str">
        <f>_xlfn.XLOOKUP(Orders[[#This Row],[Customer ID]],customers!$A$1:$A$1001,customers!$I$1:$I$1001,,0)</f>
        <v>Yes</v>
      </c>
    </row>
    <row r="730" spans="1:16" x14ac:dyDescent="0.25">
      <c r="A730" s="2" t="s">
        <v>4602</v>
      </c>
      <c r="B730" s="3">
        <v>44155</v>
      </c>
      <c r="C730" s="2" t="s">
        <v>4603</v>
      </c>
      <c r="D730" t="s">
        <v>6144</v>
      </c>
      <c r="E730" s="2">
        <v>3</v>
      </c>
      <c r="F730" s="2" t="str">
        <f>_xlfn.XLOOKUP(orders!C730,customers!$A$2:$A$1001,customers!$B$2:$B$1001)</f>
        <v>Rochette Huscroft</v>
      </c>
      <c r="G730" s="2" t="str">
        <f>IF(_xlfn.XLOOKUP(C730,customers!$A$2:$A$1001,customers!$C$2:$C$1001,,)=0,"",_xlfn.XLOOKUP(C730,customers!$A$2:$A$1001,customers!$C$2:$C$1001,,))</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cm="1">
        <f t="array" ref="N730">_xlfn.IFS(I730="Rob","Robusta",I730="Exc","Excelsa",I730="Ara","Arabica",I730="Lib","Liberica")</f>
        <v>Excelsa</v>
      </c>
      <c r="O730" t="str" cm="1">
        <f t="array" ref="O730">_xlfn.IFS(J730="M","Medium",J730="L","Light",J730="D","Dark")</f>
        <v>Dark</v>
      </c>
      <c r="P730" t="str">
        <f>_xlfn.XLOOKUP(Orders[[#This Row],[Customer ID]],customers!$A$1:$A$1001,customers!$I$1:$I$1001,,0)</f>
        <v>Yes</v>
      </c>
    </row>
    <row r="731" spans="1:16" x14ac:dyDescent="0.25">
      <c r="A731" s="2" t="s">
        <v>4608</v>
      </c>
      <c r="B731" s="3">
        <v>44634</v>
      </c>
      <c r="C731" s="2" t="s">
        <v>4609</v>
      </c>
      <c r="D731" t="s">
        <v>6159</v>
      </c>
      <c r="E731" s="2">
        <v>1</v>
      </c>
      <c r="F731" s="2" t="str">
        <f>_xlfn.XLOOKUP(orders!C731,customers!$A$2:$A$1001,customers!$B$2:$B$1001)</f>
        <v>Selle Scurrer</v>
      </c>
      <c r="G731" s="2" t="str">
        <f>IF(_xlfn.XLOOKUP(C731,customers!$A$2:$A$1001,customers!$C$2:$C$1001,,)=0,"",_xlfn.XLOOKUP(C731,customers!$A$2:$A$1001,customers!$C$2:$C$1001,,))</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cm="1">
        <f t="array" ref="N731">_xlfn.IFS(I731="Rob","Robusta",I731="Exc","Excelsa",I731="Ara","Arabica",I731="Lib","Liberica")</f>
        <v>Liberica</v>
      </c>
      <c r="O731" t="str" cm="1">
        <f t="array" ref="O731">_xlfn.IFS(J731="M","Medium",J731="L","Light",J731="D","Dark")</f>
        <v>Medium</v>
      </c>
      <c r="P731" t="str">
        <f>_xlfn.XLOOKUP(Orders[[#This Row],[Customer ID]],customers!$A$1:$A$1001,customers!$I$1:$I$1001,,0)</f>
        <v>No</v>
      </c>
    </row>
    <row r="732" spans="1:16" x14ac:dyDescent="0.25">
      <c r="A732" s="2" t="s">
        <v>4614</v>
      </c>
      <c r="B732" s="3">
        <v>43475</v>
      </c>
      <c r="C732" s="2" t="s">
        <v>4615</v>
      </c>
      <c r="D732" t="s">
        <v>6164</v>
      </c>
      <c r="E732" s="2">
        <v>1</v>
      </c>
      <c r="F732" s="2" t="str">
        <f>_xlfn.XLOOKUP(orders!C732,customers!$A$2:$A$1001,customers!$B$2:$B$1001)</f>
        <v>Andie Rudram</v>
      </c>
      <c r="G732" s="2" t="str">
        <f>IF(_xlfn.XLOOKUP(C732,customers!$A$2:$A$1001,customers!$C$2:$C$1001,,)=0,"",_xlfn.XLOOKUP(C732,customers!$A$2:$A$1001,customers!$C$2:$C$1001,,))</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cm="1">
        <f t="array" ref="N732">_xlfn.IFS(I732="Rob","Robusta",I732="Exc","Excelsa",I732="Ara","Arabica",I732="Lib","Liberica")</f>
        <v>Liberica</v>
      </c>
      <c r="O732" t="str" cm="1">
        <f t="array" ref="O732">_xlfn.IFS(J732="M","Medium",J732="L","Light",J732="D","Dark")</f>
        <v>Light</v>
      </c>
      <c r="P732" t="str">
        <f>_xlfn.XLOOKUP(Orders[[#This Row],[Customer ID]],customers!$A$1:$A$1001,customers!$I$1:$I$1001,,0)</f>
        <v>No</v>
      </c>
    </row>
    <row r="733" spans="1:16" x14ac:dyDescent="0.25">
      <c r="A733" s="2" t="s">
        <v>4620</v>
      </c>
      <c r="B733" s="3">
        <v>44222</v>
      </c>
      <c r="C733" s="2" t="s">
        <v>4621</v>
      </c>
      <c r="D733" t="s">
        <v>6150</v>
      </c>
      <c r="E733" s="2">
        <v>4</v>
      </c>
      <c r="F733" s="2" t="str">
        <f>_xlfn.XLOOKUP(orders!C733,customers!$A$2:$A$1001,customers!$B$2:$B$1001)</f>
        <v>Leta Clarricoates</v>
      </c>
      <c r="G733" s="2" t="str">
        <f>IF(_xlfn.XLOOKUP(C733,customers!$A$2:$A$1001,customers!$C$2:$C$1001,,)=0,"",_xlfn.XLOOKUP(C733,customers!$A$2:$A$1001,customers!$C$2:$C$1001,,))</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cm="1">
        <f t="array" ref="N733">_xlfn.IFS(I733="Rob","Robusta",I733="Exc","Excelsa",I733="Ara","Arabica",I733="Lib","Liberica")</f>
        <v>Liberica</v>
      </c>
      <c r="O733" t="str" cm="1">
        <f t="array" ref="O733">_xlfn.IFS(J733="M","Medium",J733="L","Light",J733="D","Dark")</f>
        <v>Dark</v>
      </c>
      <c r="P733" t="str">
        <f>_xlfn.XLOOKUP(Orders[[#This Row],[Customer ID]],customers!$A$1:$A$1001,customers!$I$1:$I$1001,,0)</f>
        <v>Yes</v>
      </c>
    </row>
    <row r="734" spans="1:16" x14ac:dyDescent="0.25">
      <c r="A734" s="2" t="s">
        <v>4625</v>
      </c>
      <c r="B734" s="3">
        <v>44312</v>
      </c>
      <c r="C734" s="2" t="s">
        <v>4626</v>
      </c>
      <c r="D734" t="s">
        <v>6184</v>
      </c>
      <c r="E734" s="2">
        <v>2</v>
      </c>
      <c r="F734" s="2" t="str">
        <f>_xlfn.XLOOKUP(orders!C734,customers!$A$2:$A$1001,customers!$B$2:$B$1001)</f>
        <v>Jacquelyn Maha</v>
      </c>
      <c r="G734" s="2" t="str">
        <f>IF(_xlfn.XLOOKUP(C734,customers!$A$2:$A$1001,customers!$C$2:$C$1001,,)=0,"",_xlfn.XLOOKUP(C734,customers!$A$2:$A$1001,customers!$C$2:$C$1001,,))</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cm="1">
        <f t="array" ref="N734">_xlfn.IFS(I734="Rob","Robusta",I734="Exc","Excelsa",I734="Ara","Arabica",I734="Lib","Liberica")</f>
        <v>Excelsa</v>
      </c>
      <c r="O734" t="str" cm="1">
        <f t="array" ref="O734">_xlfn.IFS(J734="M","Medium",J734="L","Light",J734="D","Dark")</f>
        <v>Light</v>
      </c>
      <c r="P734" t="str">
        <f>_xlfn.XLOOKUP(Orders[[#This Row],[Customer ID]],customers!$A$1:$A$1001,customers!$I$1:$I$1001,,0)</f>
        <v>No</v>
      </c>
    </row>
    <row r="735" spans="1:16" x14ac:dyDescent="0.25">
      <c r="A735" s="2" t="s">
        <v>4631</v>
      </c>
      <c r="B735" s="3">
        <v>44565</v>
      </c>
      <c r="C735" s="2" t="s">
        <v>4632</v>
      </c>
      <c r="D735" t="s">
        <v>6181</v>
      </c>
      <c r="E735" s="2">
        <v>3</v>
      </c>
      <c r="F735" s="2" t="str">
        <f>_xlfn.XLOOKUP(orders!C735,customers!$A$2:$A$1001,customers!$B$2:$B$1001)</f>
        <v>Glory Clemon</v>
      </c>
      <c r="G735" s="2" t="str">
        <f>IF(_xlfn.XLOOKUP(C735,customers!$A$2:$A$1001,customers!$C$2:$C$1001,,)=0,"",_xlfn.XLOOKUP(C735,customers!$A$2:$A$1001,customers!$C$2:$C$1001,,))</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cm="1">
        <f t="array" ref="N735">_xlfn.IFS(I735="Rob","Robusta",I735="Exc","Excelsa",I735="Ara","Arabica",I735="Lib","Liberica")</f>
        <v>Liberica</v>
      </c>
      <c r="O735" t="str" cm="1">
        <f t="array" ref="O735">_xlfn.IFS(J735="M","Medium",J735="L","Light",J735="D","Dark")</f>
        <v>Medium</v>
      </c>
      <c r="P735" t="str">
        <f>_xlfn.XLOOKUP(Orders[[#This Row],[Customer ID]],customers!$A$1:$A$1001,customers!$I$1:$I$1001,,0)</f>
        <v>Yes</v>
      </c>
    </row>
    <row r="736" spans="1:16" x14ac:dyDescent="0.25">
      <c r="A736" s="2" t="s">
        <v>4637</v>
      </c>
      <c r="B736" s="3">
        <v>43697</v>
      </c>
      <c r="C736" s="2" t="s">
        <v>4638</v>
      </c>
      <c r="D736" t="s">
        <v>6163</v>
      </c>
      <c r="E736" s="2">
        <v>5</v>
      </c>
      <c r="F736" s="2" t="str">
        <f>_xlfn.XLOOKUP(orders!C736,customers!$A$2:$A$1001,customers!$B$2:$B$1001)</f>
        <v>Alica Kift</v>
      </c>
      <c r="G736" s="2" t="str">
        <f>IF(_xlfn.XLOOKUP(C736,customers!$A$2:$A$1001,customers!$C$2:$C$1001,,)=0,"",_xlfn.XLOOKUP(C736,customers!$A$2:$A$1001,customers!$C$2:$C$1001,,))</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cm="1">
        <f t="array" ref="N736">_xlfn.IFS(I736="Rob","Robusta",I736="Exc","Excelsa",I736="Ara","Arabica",I736="Lib","Liberica")</f>
        <v>Robusta</v>
      </c>
      <c r="O736" t="str" cm="1">
        <f t="array" ref="O736">_xlfn.IFS(J736="M","Medium",J736="L","Light",J736="D","Dark")</f>
        <v>Dark</v>
      </c>
      <c r="P736" t="str">
        <f>_xlfn.XLOOKUP(Orders[[#This Row],[Customer ID]],customers!$A$1:$A$1001,customers!$I$1:$I$1001,,0)</f>
        <v>No</v>
      </c>
    </row>
    <row r="737" spans="1:16" x14ac:dyDescent="0.25">
      <c r="A737" s="2" t="s">
        <v>4642</v>
      </c>
      <c r="B737" s="3">
        <v>44757</v>
      </c>
      <c r="C737" s="2" t="s">
        <v>4643</v>
      </c>
      <c r="D737" t="s">
        <v>6153</v>
      </c>
      <c r="E737" s="2">
        <v>6</v>
      </c>
      <c r="F737" s="2" t="str">
        <f>_xlfn.XLOOKUP(orders!C737,customers!$A$2:$A$1001,customers!$B$2:$B$1001)</f>
        <v>Babb Pollins</v>
      </c>
      <c r="G737" s="2" t="str">
        <f>IF(_xlfn.XLOOKUP(C737,customers!$A$2:$A$1001,customers!$C$2:$C$1001,,)=0,"",_xlfn.XLOOKUP(C737,customers!$A$2:$A$1001,customers!$C$2:$C$1001,,))</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cm="1">
        <f t="array" ref="N737">_xlfn.IFS(I737="Rob","Robusta",I737="Exc","Excelsa",I737="Ara","Arabica",I737="Lib","Liberica")</f>
        <v>Excelsa</v>
      </c>
      <c r="O737" t="str" cm="1">
        <f t="array" ref="O737">_xlfn.IFS(J737="M","Medium",J737="L","Light",J737="D","Dark")</f>
        <v>Dark</v>
      </c>
      <c r="P737" t="str">
        <f>_xlfn.XLOOKUP(Orders[[#This Row],[Customer ID]],customers!$A$1:$A$1001,customers!$I$1:$I$1001,,0)</f>
        <v>No</v>
      </c>
    </row>
    <row r="738" spans="1:16" x14ac:dyDescent="0.25">
      <c r="A738" s="2" t="s">
        <v>4647</v>
      </c>
      <c r="B738" s="3">
        <v>43508</v>
      </c>
      <c r="C738" s="2" t="s">
        <v>4648</v>
      </c>
      <c r="D738" t="s">
        <v>6143</v>
      </c>
      <c r="E738" s="2">
        <v>2</v>
      </c>
      <c r="F738" s="2" t="str">
        <f>_xlfn.XLOOKUP(orders!C738,customers!$A$2:$A$1001,customers!$B$2:$B$1001)</f>
        <v>Jarret Toye</v>
      </c>
      <c r="G738" s="2" t="str">
        <f>IF(_xlfn.XLOOKUP(C738,customers!$A$2:$A$1001,customers!$C$2:$C$1001,,)=0,"",_xlfn.XLOOKUP(C738,customers!$A$2:$A$1001,customers!$C$2:$C$1001,,))</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cm="1">
        <f t="array" ref="N738">_xlfn.IFS(I738="Rob","Robusta",I738="Exc","Excelsa",I738="Ara","Arabica",I738="Lib","Liberica")</f>
        <v>Liberica</v>
      </c>
      <c r="O738" t="str" cm="1">
        <f t="array" ref="O738">_xlfn.IFS(J738="M","Medium",J738="L","Light",J738="D","Dark")</f>
        <v>Dark</v>
      </c>
      <c r="P738" t="str">
        <f>_xlfn.XLOOKUP(Orders[[#This Row],[Customer ID]],customers!$A$1:$A$1001,customers!$I$1:$I$1001,,0)</f>
        <v>Yes</v>
      </c>
    </row>
    <row r="739" spans="1:16" x14ac:dyDescent="0.25">
      <c r="A739" s="2" t="s">
        <v>4653</v>
      </c>
      <c r="B739" s="3">
        <v>44447</v>
      </c>
      <c r="C739" s="2" t="s">
        <v>4654</v>
      </c>
      <c r="D739" t="s">
        <v>6155</v>
      </c>
      <c r="E739" s="2">
        <v>5</v>
      </c>
      <c r="F739" s="2" t="str">
        <f>_xlfn.XLOOKUP(orders!C739,customers!$A$2:$A$1001,customers!$B$2:$B$1001)</f>
        <v>Carlie Linskill</v>
      </c>
      <c r="G739" s="2" t="str">
        <f>IF(_xlfn.XLOOKUP(C739,customers!$A$2:$A$1001,customers!$C$2:$C$1001,,)=0,"",_xlfn.XLOOKUP(C739,customers!$A$2:$A$1001,customers!$C$2:$C$1001,,))</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cm="1">
        <f t="array" ref="N739">_xlfn.IFS(I739="Rob","Robusta",I739="Exc","Excelsa",I739="Ara","Arabica",I739="Lib","Liberica")</f>
        <v>Arabica</v>
      </c>
      <c r="O739" t="str" cm="1">
        <f t="array" ref="O739">_xlfn.IFS(J739="M","Medium",J739="L","Light",J739="D","Dark")</f>
        <v>Medium</v>
      </c>
      <c r="P739" t="str">
        <f>_xlfn.XLOOKUP(Orders[[#This Row],[Customer ID]],customers!$A$1:$A$1001,customers!$I$1:$I$1001,,0)</f>
        <v>No</v>
      </c>
    </row>
    <row r="740" spans="1:16" x14ac:dyDescent="0.25">
      <c r="A740" s="2" t="s">
        <v>4659</v>
      </c>
      <c r="B740" s="3">
        <v>43812</v>
      </c>
      <c r="C740" s="2" t="s">
        <v>4660</v>
      </c>
      <c r="D740" t="s">
        <v>6178</v>
      </c>
      <c r="E740" s="2">
        <v>3</v>
      </c>
      <c r="F740" s="2" t="str">
        <f>_xlfn.XLOOKUP(orders!C740,customers!$A$2:$A$1001,customers!$B$2:$B$1001)</f>
        <v>Natal Vigrass</v>
      </c>
      <c r="G740" s="2" t="str">
        <f>IF(_xlfn.XLOOKUP(C740,customers!$A$2:$A$1001,customers!$C$2:$C$1001,,)=0,"",_xlfn.XLOOKUP(C740,customers!$A$2:$A$1001,customers!$C$2:$C$1001,,))</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cm="1">
        <f t="array" ref="N740">_xlfn.IFS(I740="Rob","Robusta",I740="Exc","Excelsa",I740="Ara","Arabica",I740="Lib","Liberica")</f>
        <v>Robusta</v>
      </c>
      <c r="O740" t="str" cm="1">
        <f t="array" ref="O740">_xlfn.IFS(J740="M","Medium",J740="L","Light",J740="D","Dark")</f>
        <v>Light</v>
      </c>
      <c r="P740" t="str">
        <f>_xlfn.XLOOKUP(Orders[[#This Row],[Customer ID]],customers!$A$1:$A$1001,customers!$I$1:$I$1001,,0)</f>
        <v>No</v>
      </c>
    </row>
    <row r="741" spans="1:16" x14ac:dyDescent="0.25">
      <c r="A741" s="2" t="s">
        <v>4665</v>
      </c>
      <c r="B741" s="3">
        <v>44433</v>
      </c>
      <c r="C741" s="2" t="s">
        <v>4434</v>
      </c>
      <c r="D741" t="s">
        <v>6153</v>
      </c>
      <c r="E741" s="2">
        <v>5</v>
      </c>
      <c r="F741" s="2" t="str">
        <f>_xlfn.XLOOKUP(orders!C741,customers!$A$2:$A$1001,customers!$B$2:$B$1001)</f>
        <v>Jimmy Dymoke</v>
      </c>
      <c r="G741" s="2" t="str">
        <f>IF(_xlfn.XLOOKUP(C741,customers!$A$2:$A$1001,customers!$C$2:$C$1001,,)=0,"",_xlfn.XLOOKUP(C741,customers!$A$2:$A$1001,customers!$C$2:$C$1001,,))</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cm="1">
        <f t="array" ref="N741">_xlfn.IFS(I741="Rob","Robusta",I741="Exc","Excelsa",I741="Ara","Arabica",I741="Lib","Liberica")</f>
        <v>Excelsa</v>
      </c>
      <c r="O741" t="str" cm="1">
        <f t="array" ref="O741">_xlfn.IFS(J741="M","Medium",J741="L","Light",J741="D","Dark")</f>
        <v>Dark</v>
      </c>
      <c r="P741" t="str">
        <f>_xlfn.XLOOKUP(Orders[[#This Row],[Customer ID]],customers!$A$1:$A$1001,customers!$I$1:$I$1001,,0)</f>
        <v>No</v>
      </c>
    </row>
    <row r="742" spans="1:16" x14ac:dyDescent="0.25">
      <c r="A742" s="2" t="s">
        <v>4670</v>
      </c>
      <c r="B742" s="3">
        <v>44643</v>
      </c>
      <c r="C742" s="2" t="s">
        <v>4671</v>
      </c>
      <c r="D742" t="s">
        <v>6173</v>
      </c>
      <c r="E742" s="2">
        <v>4</v>
      </c>
      <c r="F742" s="2" t="str">
        <f>_xlfn.XLOOKUP(orders!C742,customers!$A$2:$A$1001,customers!$B$2:$B$1001)</f>
        <v>Kandace Cragell</v>
      </c>
      <c r="G742" s="2" t="str">
        <f>IF(_xlfn.XLOOKUP(C742,customers!$A$2:$A$1001,customers!$C$2:$C$1001,,)=0,"",_xlfn.XLOOKUP(C742,customers!$A$2:$A$1001,customers!$C$2:$C$1001,,))</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cm="1">
        <f t="array" ref="N742">_xlfn.IFS(I742="Rob","Robusta",I742="Exc","Excelsa",I742="Ara","Arabica",I742="Lib","Liberica")</f>
        <v>Robusta</v>
      </c>
      <c r="O742" t="str" cm="1">
        <f t="array" ref="O742">_xlfn.IFS(J742="M","Medium",J742="L","Light",J742="D","Dark")</f>
        <v>Light</v>
      </c>
      <c r="P742" t="str">
        <f>_xlfn.XLOOKUP(Orders[[#This Row],[Customer ID]],customers!$A$1:$A$1001,customers!$I$1:$I$1001,,0)</f>
        <v>No</v>
      </c>
    </row>
    <row r="743" spans="1:16" x14ac:dyDescent="0.25">
      <c r="A743" s="2" t="s">
        <v>4676</v>
      </c>
      <c r="B743" s="3">
        <v>43566</v>
      </c>
      <c r="C743" s="2" t="s">
        <v>4677</v>
      </c>
      <c r="D743" t="s">
        <v>6159</v>
      </c>
      <c r="E743" s="2">
        <v>2</v>
      </c>
      <c r="F743" s="2" t="str">
        <f>_xlfn.XLOOKUP(orders!C743,customers!$A$2:$A$1001,customers!$B$2:$B$1001)</f>
        <v>Lyon Ibert</v>
      </c>
      <c r="G743" s="2" t="str">
        <f>IF(_xlfn.XLOOKUP(C743,customers!$A$2:$A$1001,customers!$C$2:$C$1001,,)=0,"",_xlfn.XLOOKUP(C743,customers!$A$2:$A$1001,customers!$C$2:$C$1001,,))</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cm="1">
        <f t="array" ref="N743">_xlfn.IFS(I743="Rob","Robusta",I743="Exc","Excelsa",I743="Ara","Arabica",I743="Lib","Liberica")</f>
        <v>Liberica</v>
      </c>
      <c r="O743" t="str" cm="1">
        <f t="array" ref="O743">_xlfn.IFS(J743="M","Medium",J743="L","Light",J743="D","Dark")</f>
        <v>Medium</v>
      </c>
      <c r="P743" t="str">
        <f>_xlfn.XLOOKUP(Orders[[#This Row],[Customer ID]],customers!$A$1:$A$1001,customers!$I$1:$I$1001,,0)</f>
        <v>No</v>
      </c>
    </row>
    <row r="744" spans="1:16" x14ac:dyDescent="0.25">
      <c r="A744" s="2" t="s">
        <v>4682</v>
      </c>
      <c r="B744" s="3">
        <v>44133</v>
      </c>
      <c r="C744" s="2" t="s">
        <v>4683</v>
      </c>
      <c r="D744" t="s">
        <v>6162</v>
      </c>
      <c r="E744" s="2">
        <v>4</v>
      </c>
      <c r="F744" s="2" t="str">
        <f>_xlfn.XLOOKUP(orders!C744,customers!$A$2:$A$1001,customers!$B$2:$B$1001)</f>
        <v>Reese Lidgey</v>
      </c>
      <c r="G744" s="2" t="str">
        <f>IF(_xlfn.XLOOKUP(C744,customers!$A$2:$A$1001,customers!$C$2:$C$1001,,)=0,"",_xlfn.XLOOKUP(C744,customers!$A$2:$A$1001,customers!$C$2:$C$1001,,))</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cm="1">
        <f t="array" ref="N744">_xlfn.IFS(I744="Rob","Robusta",I744="Exc","Excelsa",I744="Ara","Arabica",I744="Lib","Liberica")</f>
        <v>Liberica</v>
      </c>
      <c r="O744" t="str" cm="1">
        <f t="array" ref="O744">_xlfn.IFS(J744="M","Medium",J744="L","Light",J744="D","Dark")</f>
        <v>Medium</v>
      </c>
      <c r="P744" t="str">
        <f>_xlfn.XLOOKUP(Orders[[#This Row],[Customer ID]],customers!$A$1:$A$1001,customers!$I$1:$I$1001,,0)</f>
        <v>No</v>
      </c>
    </row>
    <row r="745" spans="1:16" x14ac:dyDescent="0.25">
      <c r="A745" s="2" t="s">
        <v>4688</v>
      </c>
      <c r="B745" s="3">
        <v>44042</v>
      </c>
      <c r="C745" s="2" t="s">
        <v>4689</v>
      </c>
      <c r="D745" t="s">
        <v>6158</v>
      </c>
      <c r="E745" s="2">
        <v>3</v>
      </c>
      <c r="F745" s="2" t="str">
        <f>_xlfn.XLOOKUP(orders!C745,customers!$A$2:$A$1001,customers!$B$2:$B$1001)</f>
        <v>Tersina Castagne</v>
      </c>
      <c r="G745" s="2" t="str">
        <f>IF(_xlfn.XLOOKUP(C745,customers!$A$2:$A$1001,customers!$C$2:$C$1001,,)=0,"",_xlfn.XLOOKUP(C745,customers!$A$2:$A$1001,customers!$C$2:$C$1001,,))</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cm="1">
        <f t="array" ref="N745">_xlfn.IFS(I745="Rob","Robusta",I745="Exc","Excelsa",I745="Ara","Arabica",I745="Lib","Liberica")</f>
        <v>Arabica</v>
      </c>
      <c r="O745" t="str" cm="1">
        <f t="array" ref="O745">_xlfn.IFS(J745="M","Medium",J745="L","Light",J745="D","Dark")</f>
        <v>Dark</v>
      </c>
      <c r="P745" t="str">
        <f>_xlfn.XLOOKUP(Orders[[#This Row],[Customer ID]],customers!$A$1:$A$1001,customers!$I$1:$I$1001,,0)</f>
        <v>No</v>
      </c>
    </row>
    <row r="746" spans="1:16" x14ac:dyDescent="0.25">
      <c r="A746" s="2" t="s">
        <v>4694</v>
      </c>
      <c r="B746" s="3">
        <v>43539</v>
      </c>
      <c r="C746" s="2" t="s">
        <v>4695</v>
      </c>
      <c r="D746" t="s">
        <v>6174</v>
      </c>
      <c r="E746" s="2">
        <v>6</v>
      </c>
      <c r="F746" s="2" t="str">
        <f>_xlfn.XLOOKUP(orders!C746,customers!$A$2:$A$1001,customers!$B$2:$B$1001)</f>
        <v>Samuele Klaaassen</v>
      </c>
      <c r="G746" s="2" t="str">
        <f>IF(_xlfn.XLOOKUP(C746,customers!$A$2:$A$1001,customers!$C$2:$C$1001,,)=0,"",_xlfn.XLOOKUP(C746,customers!$A$2:$A$1001,customers!$C$2:$C$1001,,))</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cm="1">
        <f t="array" ref="N746">_xlfn.IFS(I746="Rob","Robusta",I746="Exc","Excelsa",I746="Ara","Arabica",I746="Lib","Liberica")</f>
        <v>Robusta</v>
      </c>
      <c r="O746" t="str" cm="1">
        <f t="array" ref="O746">_xlfn.IFS(J746="M","Medium",J746="L","Light",J746="D","Dark")</f>
        <v>Medium</v>
      </c>
      <c r="P746" t="str">
        <f>_xlfn.XLOOKUP(Orders[[#This Row],[Customer ID]],customers!$A$1:$A$1001,customers!$I$1:$I$1001,,0)</f>
        <v>Yes</v>
      </c>
    </row>
    <row r="747" spans="1:16" x14ac:dyDescent="0.25">
      <c r="A747" s="2" t="s">
        <v>4699</v>
      </c>
      <c r="B747" s="3">
        <v>44557</v>
      </c>
      <c r="C747" s="2" t="s">
        <v>4700</v>
      </c>
      <c r="D747" t="s">
        <v>6144</v>
      </c>
      <c r="E747" s="2">
        <v>2</v>
      </c>
      <c r="F747" s="2" t="str">
        <f>_xlfn.XLOOKUP(orders!C747,customers!$A$2:$A$1001,customers!$B$2:$B$1001)</f>
        <v>Jordana Halden</v>
      </c>
      <c r="G747" s="2" t="str">
        <f>IF(_xlfn.XLOOKUP(C747,customers!$A$2:$A$1001,customers!$C$2:$C$1001,,)=0,"",_xlfn.XLOOKUP(C747,customers!$A$2:$A$1001,customers!$C$2:$C$1001,,))</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cm="1">
        <f t="array" ref="N747">_xlfn.IFS(I747="Rob","Robusta",I747="Exc","Excelsa",I747="Ara","Arabica",I747="Lib","Liberica")</f>
        <v>Excelsa</v>
      </c>
      <c r="O747" t="str" cm="1">
        <f t="array" ref="O747">_xlfn.IFS(J747="M","Medium",J747="L","Light",J747="D","Dark")</f>
        <v>Dark</v>
      </c>
      <c r="P747" t="str">
        <f>_xlfn.XLOOKUP(Orders[[#This Row],[Customer ID]],customers!$A$1:$A$1001,customers!$I$1:$I$1001,,0)</f>
        <v>No</v>
      </c>
    </row>
    <row r="748" spans="1:16" x14ac:dyDescent="0.25">
      <c r="A748" s="2" t="s">
        <v>4705</v>
      </c>
      <c r="B748" s="3">
        <v>43741</v>
      </c>
      <c r="C748" s="2" t="s">
        <v>4706</v>
      </c>
      <c r="D748" t="s">
        <v>6155</v>
      </c>
      <c r="E748" s="2">
        <v>3</v>
      </c>
      <c r="F748" s="2" t="str">
        <f>_xlfn.XLOOKUP(orders!C748,customers!$A$2:$A$1001,customers!$B$2:$B$1001)</f>
        <v>Hussein Olliff</v>
      </c>
      <c r="G748" s="2" t="str">
        <f>IF(_xlfn.XLOOKUP(C748,customers!$A$2:$A$1001,customers!$C$2:$C$1001,,)=0,"",_xlfn.XLOOKUP(C748,customers!$A$2:$A$1001,customers!$C$2:$C$1001,,))</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cm="1">
        <f t="array" ref="N748">_xlfn.IFS(I748="Rob","Robusta",I748="Exc","Excelsa",I748="Ara","Arabica",I748="Lib","Liberica")</f>
        <v>Arabica</v>
      </c>
      <c r="O748" t="str" cm="1">
        <f t="array" ref="O748">_xlfn.IFS(J748="M","Medium",J748="L","Light",J748="D","Dark")</f>
        <v>Medium</v>
      </c>
      <c r="P748" t="str">
        <f>_xlfn.XLOOKUP(Orders[[#This Row],[Customer ID]],customers!$A$1:$A$1001,customers!$I$1:$I$1001,,0)</f>
        <v>No</v>
      </c>
    </row>
    <row r="749" spans="1:16" x14ac:dyDescent="0.25">
      <c r="A749" s="2" t="s">
        <v>4711</v>
      </c>
      <c r="B749" s="3">
        <v>43501</v>
      </c>
      <c r="C749" s="2" t="s">
        <v>4712</v>
      </c>
      <c r="D749" t="s">
        <v>6160</v>
      </c>
      <c r="E749" s="2">
        <v>4</v>
      </c>
      <c r="F749" s="2" t="str">
        <f>_xlfn.XLOOKUP(orders!C749,customers!$A$2:$A$1001,customers!$B$2:$B$1001)</f>
        <v>Teddi Quadri</v>
      </c>
      <c r="G749" s="2" t="str">
        <f>IF(_xlfn.XLOOKUP(C749,customers!$A$2:$A$1001,customers!$C$2:$C$1001,,)=0,"",_xlfn.XLOOKUP(C749,customers!$A$2:$A$1001,customers!$C$2:$C$1001,,))</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cm="1">
        <f t="array" ref="N749">_xlfn.IFS(I749="Rob","Robusta",I749="Exc","Excelsa",I749="Ara","Arabica",I749="Lib","Liberica")</f>
        <v>Liberica</v>
      </c>
      <c r="O749" t="str" cm="1">
        <f t="array" ref="O749">_xlfn.IFS(J749="M","Medium",J749="L","Light",J749="D","Dark")</f>
        <v>Medium</v>
      </c>
      <c r="P749" t="str">
        <f>_xlfn.XLOOKUP(Orders[[#This Row],[Customer ID]],customers!$A$1:$A$1001,customers!$I$1:$I$1001,,0)</f>
        <v>Yes</v>
      </c>
    </row>
    <row r="750" spans="1:16" x14ac:dyDescent="0.25">
      <c r="A750" s="2" t="s">
        <v>4717</v>
      </c>
      <c r="B750" s="3">
        <v>44074</v>
      </c>
      <c r="C750" s="2" t="s">
        <v>4718</v>
      </c>
      <c r="D750" t="s">
        <v>6144</v>
      </c>
      <c r="E750" s="2">
        <v>2</v>
      </c>
      <c r="F750" s="2" t="str">
        <f>_xlfn.XLOOKUP(orders!C750,customers!$A$2:$A$1001,customers!$B$2:$B$1001)</f>
        <v>Felita Eshmade</v>
      </c>
      <c r="G750" s="2" t="str">
        <f>IF(_xlfn.XLOOKUP(C750,customers!$A$2:$A$1001,customers!$C$2:$C$1001,,)=0,"",_xlfn.XLOOKUP(C750,customers!$A$2:$A$1001,customers!$C$2:$C$1001,,))</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cm="1">
        <f t="array" ref="N750">_xlfn.IFS(I750="Rob","Robusta",I750="Exc","Excelsa",I750="Ara","Arabica",I750="Lib","Liberica")</f>
        <v>Excelsa</v>
      </c>
      <c r="O750" t="str" cm="1">
        <f t="array" ref="O750">_xlfn.IFS(J750="M","Medium",J750="L","Light",J750="D","Dark")</f>
        <v>Dark</v>
      </c>
      <c r="P750" t="str">
        <f>_xlfn.XLOOKUP(Orders[[#This Row],[Customer ID]],customers!$A$1:$A$1001,customers!$I$1:$I$1001,,0)</f>
        <v>No</v>
      </c>
    </row>
    <row r="751" spans="1:16" x14ac:dyDescent="0.25">
      <c r="A751" s="2" t="s">
        <v>4723</v>
      </c>
      <c r="B751" s="3">
        <v>44209</v>
      </c>
      <c r="C751" s="2" t="s">
        <v>4724</v>
      </c>
      <c r="D751" t="s">
        <v>6163</v>
      </c>
      <c r="E751" s="2">
        <v>2</v>
      </c>
      <c r="F751" s="2" t="str">
        <f>_xlfn.XLOOKUP(orders!C751,customers!$A$2:$A$1001,customers!$B$2:$B$1001)</f>
        <v>Melodie OIlier</v>
      </c>
      <c r="G751" s="2" t="str">
        <f>IF(_xlfn.XLOOKUP(C751,customers!$A$2:$A$1001,customers!$C$2:$C$1001,,)=0,"",_xlfn.XLOOKUP(C751,customers!$A$2:$A$1001,customers!$C$2:$C$1001,,))</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cm="1">
        <f t="array" ref="N751">_xlfn.IFS(I751="Rob","Robusta",I751="Exc","Excelsa",I751="Ara","Arabica",I751="Lib","Liberica")</f>
        <v>Robusta</v>
      </c>
      <c r="O751" t="str" cm="1">
        <f t="array" ref="O751">_xlfn.IFS(J751="M","Medium",J751="L","Light",J751="D","Dark")</f>
        <v>Dark</v>
      </c>
      <c r="P751" t="str">
        <f>_xlfn.XLOOKUP(Orders[[#This Row],[Customer ID]],customers!$A$1:$A$1001,customers!$I$1:$I$1001,,0)</f>
        <v>Yes</v>
      </c>
    </row>
    <row r="752" spans="1:16" x14ac:dyDescent="0.25">
      <c r="A752" s="2" t="s">
        <v>4730</v>
      </c>
      <c r="B752" s="3">
        <v>44277</v>
      </c>
      <c r="C752" s="2" t="s">
        <v>4731</v>
      </c>
      <c r="D752" t="s">
        <v>6146</v>
      </c>
      <c r="E752" s="2">
        <v>1</v>
      </c>
      <c r="F752" s="2" t="str">
        <f>_xlfn.XLOOKUP(orders!C752,customers!$A$2:$A$1001,customers!$B$2:$B$1001)</f>
        <v>Hazel Iacopini</v>
      </c>
      <c r="G752" s="2" t="str">
        <f>IF(_xlfn.XLOOKUP(C752,customers!$A$2:$A$1001,customers!$C$2:$C$1001,,)=0,"",_xlfn.XLOOKUP(C752,customers!$A$2:$A$1001,customers!$C$2:$C$1001,,))</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cm="1">
        <f t="array" ref="N752">_xlfn.IFS(I752="Rob","Robusta",I752="Exc","Excelsa",I752="Ara","Arabica",I752="Lib","Liberica")</f>
        <v>Robusta</v>
      </c>
      <c r="O752" t="str" cm="1">
        <f t="array" ref="O752">_xlfn.IFS(J752="M","Medium",J752="L","Light",J752="D","Dark")</f>
        <v>Medium</v>
      </c>
      <c r="P752" t="str">
        <f>_xlfn.XLOOKUP(Orders[[#This Row],[Customer ID]],customers!$A$1:$A$1001,customers!$I$1:$I$1001,,0)</f>
        <v>Yes</v>
      </c>
    </row>
    <row r="753" spans="1:16" x14ac:dyDescent="0.25">
      <c r="A753" s="2" t="s">
        <v>4735</v>
      </c>
      <c r="B753" s="3">
        <v>43847</v>
      </c>
      <c r="C753" s="2" t="s">
        <v>4736</v>
      </c>
      <c r="D753" t="s">
        <v>6161</v>
      </c>
      <c r="E753" s="2">
        <v>2</v>
      </c>
      <c r="F753" s="2" t="str">
        <f>_xlfn.XLOOKUP(orders!C753,customers!$A$2:$A$1001,customers!$B$2:$B$1001)</f>
        <v>Vinny Shoebotham</v>
      </c>
      <c r="G753" s="2" t="str">
        <f>IF(_xlfn.XLOOKUP(C753,customers!$A$2:$A$1001,customers!$C$2:$C$1001,,)=0,"",_xlfn.XLOOKUP(C753,customers!$A$2:$A$1001,customers!$C$2:$C$1001,,))</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cm="1">
        <f t="array" ref="N753">_xlfn.IFS(I753="Rob","Robusta",I753="Exc","Excelsa",I753="Ara","Arabica",I753="Lib","Liberica")</f>
        <v>Liberica</v>
      </c>
      <c r="O753" t="str" cm="1">
        <f t="array" ref="O753">_xlfn.IFS(J753="M","Medium",J753="L","Light",J753="D","Dark")</f>
        <v>Light</v>
      </c>
      <c r="P753" t="str">
        <f>_xlfn.XLOOKUP(Orders[[#This Row],[Customer ID]],customers!$A$1:$A$1001,customers!$I$1:$I$1001,,0)</f>
        <v>No</v>
      </c>
    </row>
    <row r="754" spans="1:16" x14ac:dyDescent="0.25">
      <c r="A754" s="2" t="s">
        <v>4741</v>
      </c>
      <c r="B754" s="3">
        <v>43648</v>
      </c>
      <c r="C754" s="2" t="s">
        <v>4742</v>
      </c>
      <c r="D754" t="s">
        <v>6141</v>
      </c>
      <c r="E754" s="2">
        <v>2</v>
      </c>
      <c r="F754" s="2" t="str">
        <f>_xlfn.XLOOKUP(orders!C754,customers!$A$2:$A$1001,customers!$B$2:$B$1001)</f>
        <v>Bran Sterke</v>
      </c>
      <c r="G754" s="2" t="str">
        <f>IF(_xlfn.XLOOKUP(C754,customers!$A$2:$A$1001,customers!$C$2:$C$1001,,)=0,"",_xlfn.XLOOKUP(C754,customers!$A$2:$A$1001,customers!$C$2:$C$1001,,))</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cm="1">
        <f t="array" ref="N754">_xlfn.IFS(I754="Rob","Robusta",I754="Exc","Excelsa",I754="Ara","Arabica",I754="Lib","Liberica")</f>
        <v>Excelsa</v>
      </c>
      <c r="O754" t="str" cm="1">
        <f t="array" ref="O754">_xlfn.IFS(J754="M","Medium",J754="L","Light",J754="D","Dark")</f>
        <v>Medium</v>
      </c>
      <c r="P754" t="str">
        <f>_xlfn.XLOOKUP(Orders[[#This Row],[Customer ID]],customers!$A$1:$A$1001,customers!$I$1:$I$1001,,0)</f>
        <v>Yes</v>
      </c>
    </row>
    <row r="755" spans="1:16" x14ac:dyDescent="0.25">
      <c r="A755" s="2" t="s">
        <v>4747</v>
      </c>
      <c r="B755" s="3">
        <v>44704</v>
      </c>
      <c r="C755" s="2" t="s">
        <v>4748</v>
      </c>
      <c r="D755" t="s">
        <v>6158</v>
      </c>
      <c r="E755" s="2">
        <v>5</v>
      </c>
      <c r="F755" s="2" t="str">
        <f>_xlfn.XLOOKUP(orders!C755,customers!$A$2:$A$1001,customers!$B$2:$B$1001)</f>
        <v>Simone Capon</v>
      </c>
      <c r="G755" s="2" t="str">
        <f>IF(_xlfn.XLOOKUP(C755,customers!$A$2:$A$1001,customers!$C$2:$C$1001,,)=0,"",_xlfn.XLOOKUP(C755,customers!$A$2:$A$1001,customers!$C$2:$C$1001,,))</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cm="1">
        <f t="array" ref="N755">_xlfn.IFS(I755="Rob","Robusta",I755="Exc","Excelsa",I755="Ara","Arabica",I755="Lib","Liberica")</f>
        <v>Arabica</v>
      </c>
      <c r="O755" t="str" cm="1">
        <f t="array" ref="O755">_xlfn.IFS(J755="M","Medium",J755="L","Light",J755="D","Dark")</f>
        <v>Dark</v>
      </c>
      <c r="P755" t="str">
        <f>_xlfn.XLOOKUP(Orders[[#This Row],[Customer ID]],customers!$A$1:$A$1001,customers!$I$1:$I$1001,,0)</f>
        <v>No</v>
      </c>
    </row>
    <row r="756" spans="1:16" x14ac:dyDescent="0.25">
      <c r="A756" s="2" t="s">
        <v>4753</v>
      </c>
      <c r="B756" s="3">
        <v>44726</v>
      </c>
      <c r="C756" s="2" t="s">
        <v>4434</v>
      </c>
      <c r="D756" t="s">
        <v>6154</v>
      </c>
      <c r="E756" s="2">
        <v>6</v>
      </c>
      <c r="F756" s="2" t="str">
        <f>_xlfn.XLOOKUP(orders!C756,customers!$A$2:$A$1001,customers!$B$2:$B$1001)</f>
        <v>Jimmy Dymoke</v>
      </c>
      <c r="G756" s="2" t="str">
        <f>IF(_xlfn.XLOOKUP(C756,customers!$A$2:$A$1001,customers!$C$2:$C$1001,,)=0,"",_xlfn.XLOOKUP(C756,customers!$A$2:$A$1001,customers!$C$2:$C$1001,,))</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cm="1">
        <f t="array" ref="N756">_xlfn.IFS(I756="Rob","Robusta",I756="Exc","Excelsa",I756="Ara","Arabica",I756="Lib","Liberica")</f>
        <v>Arabica</v>
      </c>
      <c r="O756" t="str" cm="1">
        <f t="array" ref="O756">_xlfn.IFS(J756="M","Medium",J756="L","Light",J756="D","Dark")</f>
        <v>Dark</v>
      </c>
      <c r="P756" t="str">
        <f>_xlfn.XLOOKUP(Orders[[#This Row],[Customer ID]],customers!$A$1:$A$1001,customers!$I$1:$I$1001,,0)</f>
        <v>No</v>
      </c>
    </row>
    <row r="757" spans="1:16" x14ac:dyDescent="0.25">
      <c r="A757" s="2" t="s">
        <v>4758</v>
      </c>
      <c r="B757" s="3">
        <v>44397</v>
      </c>
      <c r="C757" s="2" t="s">
        <v>4759</v>
      </c>
      <c r="D757" t="s">
        <v>6145</v>
      </c>
      <c r="E757" s="2">
        <v>6</v>
      </c>
      <c r="F757" s="2" t="str">
        <f>_xlfn.XLOOKUP(orders!C757,customers!$A$2:$A$1001,customers!$B$2:$B$1001)</f>
        <v>Foster Constance</v>
      </c>
      <c r="G757" s="2" t="str">
        <f>IF(_xlfn.XLOOKUP(C757,customers!$A$2:$A$1001,customers!$C$2:$C$1001,,)=0,"",_xlfn.XLOOKUP(C757,customers!$A$2:$A$1001,customers!$C$2:$C$1001,,))</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cm="1">
        <f t="array" ref="N757">_xlfn.IFS(I757="Rob","Robusta",I757="Exc","Excelsa",I757="Ara","Arabica",I757="Lib","Liberica")</f>
        <v>Liberica</v>
      </c>
      <c r="O757" t="str" cm="1">
        <f t="array" ref="O757">_xlfn.IFS(J757="M","Medium",J757="L","Light",J757="D","Dark")</f>
        <v>Light</v>
      </c>
      <c r="P757" t="str">
        <f>_xlfn.XLOOKUP(Orders[[#This Row],[Customer ID]],customers!$A$1:$A$1001,customers!$I$1:$I$1001,,0)</f>
        <v>No</v>
      </c>
    </row>
    <row r="758" spans="1:16" x14ac:dyDescent="0.25">
      <c r="A758" s="2" t="s">
        <v>4764</v>
      </c>
      <c r="B758" s="3">
        <v>44715</v>
      </c>
      <c r="C758" s="2" t="s">
        <v>4765</v>
      </c>
      <c r="D758" t="s">
        <v>6177</v>
      </c>
      <c r="E758" s="2">
        <v>4</v>
      </c>
      <c r="F758" s="2" t="str">
        <f>_xlfn.XLOOKUP(orders!C758,customers!$A$2:$A$1001,customers!$B$2:$B$1001)</f>
        <v>Fernando Sulman</v>
      </c>
      <c r="G758" s="2" t="str">
        <f>IF(_xlfn.XLOOKUP(C758,customers!$A$2:$A$1001,customers!$C$2:$C$1001,,)=0,"",_xlfn.XLOOKUP(C758,customers!$A$2:$A$1001,customers!$C$2:$C$1001,,))</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cm="1">
        <f t="array" ref="N758">_xlfn.IFS(I758="Rob","Robusta",I758="Exc","Excelsa",I758="Ara","Arabica",I758="Lib","Liberica")</f>
        <v>Robusta</v>
      </c>
      <c r="O758" t="str" cm="1">
        <f t="array" ref="O758">_xlfn.IFS(J758="M","Medium",J758="L","Light",J758="D","Dark")</f>
        <v>Dark</v>
      </c>
      <c r="P758" t="str">
        <f>_xlfn.XLOOKUP(Orders[[#This Row],[Customer ID]],customers!$A$1:$A$1001,customers!$I$1:$I$1001,,0)</f>
        <v>Yes</v>
      </c>
    </row>
    <row r="759" spans="1:16" x14ac:dyDescent="0.25">
      <c r="A759" s="2" t="s">
        <v>4770</v>
      </c>
      <c r="B759" s="3">
        <v>43977</v>
      </c>
      <c r="C759" s="2" t="s">
        <v>4771</v>
      </c>
      <c r="D759" t="s">
        <v>6158</v>
      </c>
      <c r="E759" s="2">
        <v>3</v>
      </c>
      <c r="F759" s="2" t="str">
        <f>_xlfn.XLOOKUP(orders!C759,customers!$A$2:$A$1001,customers!$B$2:$B$1001)</f>
        <v>Dorotea Hollyman</v>
      </c>
      <c r="G759" s="2" t="str">
        <f>IF(_xlfn.XLOOKUP(C759,customers!$A$2:$A$1001,customers!$C$2:$C$1001,,)=0,"",_xlfn.XLOOKUP(C759,customers!$A$2:$A$1001,customers!$C$2:$C$1001,,))</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cm="1">
        <f t="array" ref="N759">_xlfn.IFS(I759="Rob","Robusta",I759="Exc","Excelsa",I759="Ara","Arabica",I759="Lib","Liberica")</f>
        <v>Arabica</v>
      </c>
      <c r="O759" t="str" cm="1">
        <f t="array" ref="O759">_xlfn.IFS(J759="M","Medium",J759="L","Light",J759="D","Dark")</f>
        <v>Dark</v>
      </c>
      <c r="P759" t="str">
        <f>_xlfn.XLOOKUP(Orders[[#This Row],[Customer ID]],customers!$A$1:$A$1001,customers!$I$1:$I$1001,,0)</f>
        <v>Yes</v>
      </c>
    </row>
    <row r="760" spans="1:16" x14ac:dyDescent="0.25">
      <c r="A760" s="2" t="s">
        <v>4776</v>
      </c>
      <c r="B760" s="3">
        <v>43672</v>
      </c>
      <c r="C760" s="2" t="s">
        <v>4777</v>
      </c>
      <c r="D760" t="s">
        <v>6177</v>
      </c>
      <c r="E760" s="2">
        <v>1</v>
      </c>
      <c r="F760" s="2" t="str">
        <f>_xlfn.XLOOKUP(orders!C760,customers!$A$2:$A$1001,customers!$B$2:$B$1001)</f>
        <v>Lorelei Nardoni</v>
      </c>
      <c r="G760" s="2" t="str">
        <f>IF(_xlfn.XLOOKUP(C760,customers!$A$2:$A$1001,customers!$C$2:$C$1001,,)=0,"",_xlfn.XLOOKUP(C760,customers!$A$2:$A$1001,customers!$C$2:$C$1001,,))</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cm="1">
        <f t="array" ref="N760">_xlfn.IFS(I760="Rob","Robusta",I760="Exc","Excelsa",I760="Ara","Arabica",I760="Lib","Liberica")</f>
        <v>Robusta</v>
      </c>
      <c r="O760" t="str" cm="1">
        <f t="array" ref="O760">_xlfn.IFS(J760="M","Medium",J760="L","Light",J760="D","Dark")</f>
        <v>Dark</v>
      </c>
      <c r="P760" t="str">
        <f>_xlfn.XLOOKUP(Orders[[#This Row],[Customer ID]],customers!$A$1:$A$1001,customers!$I$1:$I$1001,,0)</f>
        <v>No</v>
      </c>
    </row>
    <row r="761" spans="1:16" x14ac:dyDescent="0.25">
      <c r="A761" s="2" t="s">
        <v>4781</v>
      </c>
      <c r="B761" s="3">
        <v>44126</v>
      </c>
      <c r="C761" s="2" t="s">
        <v>4782</v>
      </c>
      <c r="D761" t="s">
        <v>6165</v>
      </c>
      <c r="E761" s="2">
        <v>1</v>
      </c>
      <c r="F761" s="2" t="str">
        <f>_xlfn.XLOOKUP(orders!C761,customers!$A$2:$A$1001,customers!$B$2:$B$1001)</f>
        <v>Dallas Yarham</v>
      </c>
      <c r="G761" s="2" t="str">
        <f>IF(_xlfn.XLOOKUP(C761,customers!$A$2:$A$1001,customers!$C$2:$C$1001,,)=0,"",_xlfn.XLOOKUP(C761,customers!$A$2:$A$1001,customers!$C$2:$C$1001,,))</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cm="1">
        <f t="array" ref="N761">_xlfn.IFS(I761="Rob","Robusta",I761="Exc","Excelsa",I761="Ara","Arabica",I761="Lib","Liberica")</f>
        <v>Liberica</v>
      </c>
      <c r="O761" t="str" cm="1">
        <f t="array" ref="O761">_xlfn.IFS(J761="M","Medium",J761="L","Light",J761="D","Dark")</f>
        <v>Dark</v>
      </c>
      <c r="P761" t="str">
        <f>_xlfn.XLOOKUP(Orders[[#This Row],[Customer ID]],customers!$A$1:$A$1001,customers!$I$1:$I$1001,,0)</f>
        <v>Yes</v>
      </c>
    </row>
    <row r="762" spans="1:16" x14ac:dyDescent="0.25">
      <c r="A762" s="2" t="s">
        <v>4787</v>
      </c>
      <c r="B762" s="3">
        <v>44189</v>
      </c>
      <c r="C762" s="2" t="s">
        <v>4788</v>
      </c>
      <c r="D762" t="s">
        <v>6176</v>
      </c>
      <c r="E762" s="2">
        <v>5</v>
      </c>
      <c r="F762" s="2" t="str">
        <f>_xlfn.XLOOKUP(orders!C762,customers!$A$2:$A$1001,customers!$B$2:$B$1001)</f>
        <v>Arlana Ferrea</v>
      </c>
      <c r="G762" s="2" t="str">
        <f>IF(_xlfn.XLOOKUP(C762,customers!$A$2:$A$1001,customers!$C$2:$C$1001,,)=0,"",_xlfn.XLOOKUP(C762,customers!$A$2:$A$1001,customers!$C$2:$C$1001,,))</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cm="1">
        <f t="array" ref="N762">_xlfn.IFS(I762="Rob","Robusta",I762="Exc","Excelsa",I762="Ara","Arabica",I762="Lib","Liberica")</f>
        <v>Excelsa</v>
      </c>
      <c r="O762" t="str" cm="1">
        <f t="array" ref="O762">_xlfn.IFS(J762="M","Medium",J762="L","Light",J762="D","Dark")</f>
        <v>Light</v>
      </c>
      <c r="P762" t="str">
        <f>_xlfn.XLOOKUP(Orders[[#This Row],[Customer ID]],customers!$A$1:$A$1001,customers!$I$1:$I$1001,,0)</f>
        <v>No</v>
      </c>
    </row>
    <row r="763" spans="1:16" x14ac:dyDescent="0.25">
      <c r="A763" s="2" t="s">
        <v>4792</v>
      </c>
      <c r="B763" s="3">
        <v>43714</v>
      </c>
      <c r="C763" s="2" t="s">
        <v>4793</v>
      </c>
      <c r="D763" t="s">
        <v>6171</v>
      </c>
      <c r="E763" s="2">
        <v>6</v>
      </c>
      <c r="F763" s="2" t="str">
        <f>_xlfn.XLOOKUP(orders!C763,customers!$A$2:$A$1001,customers!$B$2:$B$1001)</f>
        <v>Chuck Kendrick</v>
      </c>
      <c r="G763" s="2" t="str">
        <f>IF(_xlfn.XLOOKUP(C763,customers!$A$2:$A$1001,customers!$C$2:$C$1001,,)=0,"",_xlfn.XLOOKUP(C763,customers!$A$2:$A$1001,customers!$C$2:$C$1001,,))</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cm="1">
        <f t="array" ref="N763">_xlfn.IFS(I763="Rob","Robusta",I763="Exc","Excelsa",I763="Ara","Arabica",I763="Lib","Liberica")</f>
        <v>Excelsa</v>
      </c>
      <c r="O763" t="str" cm="1">
        <f t="array" ref="O763">_xlfn.IFS(J763="M","Medium",J763="L","Light",J763="D","Dark")</f>
        <v>Light</v>
      </c>
      <c r="P763" t="str">
        <f>_xlfn.XLOOKUP(Orders[[#This Row],[Customer ID]],customers!$A$1:$A$1001,customers!$I$1:$I$1001,,0)</f>
        <v>Yes</v>
      </c>
    </row>
    <row r="764" spans="1:16" x14ac:dyDescent="0.25">
      <c r="A764" s="2" t="s">
        <v>4797</v>
      </c>
      <c r="B764" s="3">
        <v>43563</v>
      </c>
      <c r="C764" s="2" t="s">
        <v>4798</v>
      </c>
      <c r="D764" t="s">
        <v>6160</v>
      </c>
      <c r="E764" s="2">
        <v>5</v>
      </c>
      <c r="F764" s="2" t="str">
        <f>_xlfn.XLOOKUP(orders!C764,customers!$A$2:$A$1001,customers!$B$2:$B$1001)</f>
        <v>Sharona Danilchik</v>
      </c>
      <c r="G764" s="2" t="str">
        <f>IF(_xlfn.XLOOKUP(C764,customers!$A$2:$A$1001,customers!$C$2:$C$1001,,)=0,"",_xlfn.XLOOKUP(C764,customers!$A$2:$A$1001,customers!$C$2:$C$1001,,))</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cm="1">
        <f t="array" ref="N764">_xlfn.IFS(I764="Rob","Robusta",I764="Exc","Excelsa",I764="Ara","Arabica",I764="Lib","Liberica")</f>
        <v>Liberica</v>
      </c>
      <c r="O764" t="str" cm="1">
        <f t="array" ref="O764">_xlfn.IFS(J764="M","Medium",J764="L","Light",J764="D","Dark")</f>
        <v>Medium</v>
      </c>
      <c r="P764" t="str">
        <f>_xlfn.XLOOKUP(Orders[[#This Row],[Customer ID]],customers!$A$1:$A$1001,customers!$I$1:$I$1001,,0)</f>
        <v>No</v>
      </c>
    </row>
    <row r="765" spans="1:16" x14ac:dyDescent="0.25">
      <c r="A765" s="2" t="s">
        <v>4803</v>
      </c>
      <c r="B765" s="3">
        <v>44587</v>
      </c>
      <c r="C765" s="2" t="s">
        <v>4804</v>
      </c>
      <c r="D765" t="s">
        <v>6180</v>
      </c>
      <c r="E765" s="2">
        <v>3</v>
      </c>
      <c r="F765" s="2" t="str">
        <f>_xlfn.XLOOKUP(orders!C765,customers!$A$2:$A$1001,customers!$B$2:$B$1001)</f>
        <v>Sarajane Potter</v>
      </c>
      <c r="G765" s="2" t="str">
        <f>IF(_xlfn.XLOOKUP(C765,customers!$A$2:$A$1001,customers!$C$2:$C$1001,,)=0,"",_xlfn.XLOOKUP(C765,customers!$A$2:$A$1001,customers!$C$2:$C$1001,,))</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cm="1">
        <f t="array" ref="N765">_xlfn.IFS(I765="Rob","Robusta",I765="Exc","Excelsa",I765="Ara","Arabica",I765="Lib","Liberica")</f>
        <v>Arabica</v>
      </c>
      <c r="O765" t="str" cm="1">
        <f t="array" ref="O765">_xlfn.IFS(J765="M","Medium",J765="L","Light",J765="D","Dark")</f>
        <v>Light</v>
      </c>
      <c r="P765" t="str">
        <f>_xlfn.XLOOKUP(Orders[[#This Row],[Customer ID]],customers!$A$1:$A$1001,customers!$I$1:$I$1001,,0)</f>
        <v>No</v>
      </c>
    </row>
    <row r="766" spans="1:16" x14ac:dyDescent="0.25">
      <c r="A766" s="2" t="s">
        <v>4808</v>
      </c>
      <c r="B766" s="3">
        <v>43797</v>
      </c>
      <c r="C766" s="2" t="s">
        <v>4809</v>
      </c>
      <c r="D766" t="s">
        <v>6182</v>
      </c>
      <c r="E766" s="2">
        <v>6</v>
      </c>
      <c r="F766" s="2" t="str">
        <f>_xlfn.XLOOKUP(orders!C766,customers!$A$2:$A$1001,customers!$B$2:$B$1001)</f>
        <v>Bobby Folomkin</v>
      </c>
      <c r="G766" s="2" t="str">
        <f>IF(_xlfn.XLOOKUP(C766,customers!$A$2:$A$1001,customers!$C$2:$C$1001,,)=0,"",_xlfn.XLOOKUP(C766,customers!$A$2:$A$1001,customers!$C$2:$C$1001,,))</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cm="1">
        <f t="array" ref="N766">_xlfn.IFS(I766="Rob","Robusta",I766="Exc","Excelsa",I766="Ara","Arabica",I766="Lib","Liberica")</f>
        <v>Arabica</v>
      </c>
      <c r="O766" t="str" cm="1">
        <f t="array" ref="O766">_xlfn.IFS(J766="M","Medium",J766="L","Light",J766="D","Dark")</f>
        <v>Light</v>
      </c>
      <c r="P766" t="str">
        <f>_xlfn.XLOOKUP(Orders[[#This Row],[Customer ID]],customers!$A$1:$A$1001,customers!$I$1:$I$1001,,0)</f>
        <v>Yes</v>
      </c>
    </row>
    <row r="767" spans="1:16" x14ac:dyDescent="0.25">
      <c r="A767" s="2" t="s">
        <v>4814</v>
      </c>
      <c r="B767" s="3">
        <v>43667</v>
      </c>
      <c r="C767" s="2" t="s">
        <v>4815</v>
      </c>
      <c r="D767" t="s">
        <v>6138</v>
      </c>
      <c r="E767" s="2">
        <v>6</v>
      </c>
      <c r="F767" s="2" t="str">
        <f>_xlfn.XLOOKUP(orders!C767,customers!$A$2:$A$1001,customers!$B$2:$B$1001)</f>
        <v>Rafferty Pursglove</v>
      </c>
      <c r="G767" s="2" t="str">
        <f>IF(_xlfn.XLOOKUP(C767,customers!$A$2:$A$1001,customers!$C$2:$C$1001,,)=0,"",_xlfn.XLOOKUP(C767,customers!$A$2:$A$1001,customers!$C$2:$C$1001,,))</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cm="1">
        <f t="array" ref="N767">_xlfn.IFS(I767="Rob","Robusta",I767="Exc","Excelsa",I767="Ara","Arabica",I767="Lib","Liberica")</f>
        <v>Robusta</v>
      </c>
      <c r="O767" t="str" cm="1">
        <f t="array" ref="O767">_xlfn.IFS(J767="M","Medium",J767="L","Light",J767="D","Dark")</f>
        <v>Medium</v>
      </c>
      <c r="P767" t="str">
        <f>_xlfn.XLOOKUP(Orders[[#This Row],[Customer ID]],customers!$A$1:$A$1001,customers!$I$1:$I$1001,,0)</f>
        <v>Yes</v>
      </c>
    </row>
    <row r="768" spans="1:16" x14ac:dyDescent="0.25">
      <c r="A768" s="2" t="s">
        <v>4814</v>
      </c>
      <c r="B768" s="3">
        <v>43667</v>
      </c>
      <c r="C768" s="2" t="s">
        <v>4815</v>
      </c>
      <c r="D768" t="s">
        <v>6180</v>
      </c>
      <c r="E768" s="2">
        <v>2</v>
      </c>
      <c r="F768" s="2" t="str">
        <f>_xlfn.XLOOKUP(orders!C768,customers!$A$2:$A$1001,customers!$B$2:$B$1001)</f>
        <v>Rafferty Pursglove</v>
      </c>
      <c r="G768" s="2" t="str">
        <f>IF(_xlfn.XLOOKUP(C768,customers!$A$2:$A$1001,customers!$C$2:$C$1001,,)=0,"",_xlfn.XLOOKUP(C768,customers!$A$2:$A$1001,customers!$C$2:$C$1001,,))</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cm="1">
        <f t="array" ref="N768">_xlfn.IFS(I768="Rob","Robusta",I768="Exc","Excelsa",I768="Ara","Arabica",I768="Lib","Liberica")</f>
        <v>Arabica</v>
      </c>
      <c r="O768" t="str" cm="1">
        <f t="array" ref="O768">_xlfn.IFS(J768="M","Medium",J768="L","Light",J768="D","Dark")</f>
        <v>Light</v>
      </c>
      <c r="P768" t="str">
        <f>_xlfn.XLOOKUP(Orders[[#This Row],[Customer ID]],customers!$A$1:$A$1001,customers!$I$1:$I$1001,,0)</f>
        <v>Yes</v>
      </c>
    </row>
    <row r="769" spans="1:16" x14ac:dyDescent="0.25">
      <c r="A769" s="2" t="s">
        <v>4825</v>
      </c>
      <c r="B769" s="3">
        <v>44267</v>
      </c>
      <c r="C769" s="2" t="s">
        <v>4759</v>
      </c>
      <c r="D769" t="s">
        <v>6182</v>
      </c>
      <c r="E769" s="2">
        <v>3</v>
      </c>
      <c r="F769" s="2" t="str">
        <f>_xlfn.XLOOKUP(orders!C769,customers!$A$2:$A$1001,customers!$B$2:$B$1001)</f>
        <v>Foster Constance</v>
      </c>
      <c r="G769" s="2" t="str">
        <f>IF(_xlfn.XLOOKUP(C769,customers!$A$2:$A$1001,customers!$C$2:$C$1001,,)=0,"",_xlfn.XLOOKUP(C769,customers!$A$2:$A$1001,customers!$C$2:$C$1001,,))</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cm="1">
        <f t="array" ref="N769">_xlfn.IFS(I769="Rob","Robusta",I769="Exc","Excelsa",I769="Ara","Arabica",I769="Lib","Liberica")</f>
        <v>Arabica</v>
      </c>
      <c r="O769" t="str" cm="1">
        <f t="array" ref="O769">_xlfn.IFS(J769="M","Medium",J769="L","Light",J769="D","Dark")</f>
        <v>Light</v>
      </c>
      <c r="P769" t="str">
        <f>_xlfn.XLOOKUP(Orders[[#This Row],[Customer ID]],customers!$A$1:$A$1001,customers!$I$1:$I$1001,,0)</f>
        <v>No</v>
      </c>
    </row>
    <row r="770" spans="1:16" x14ac:dyDescent="0.25">
      <c r="A770" s="2" t="s">
        <v>4831</v>
      </c>
      <c r="B770" s="3">
        <v>44562</v>
      </c>
      <c r="C770" s="2" t="s">
        <v>4759</v>
      </c>
      <c r="D770" t="s">
        <v>6179</v>
      </c>
      <c r="E770" s="2">
        <v>2</v>
      </c>
      <c r="F770" s="2" t="str">
        <f>_xlfn.XLOOKUP(orders!C770,customers!$A$2:$A$1001,customers!$B$2:$B$1001)</f>
        <v>Foster Constance</v>
      </c>
      <c r="G770" s="2" t="str">
        <f>IF(_xlfn.XLOOKUP(C770,customers!$A$2:$A$1001,customers!$C$2:$C$1001,,)=0,"",_xlfn.XLOOKUP(C770,customers!$A$2:$A$1001,customers!$C$2:$C$1001,,))</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cm="1">
        <f t="array" ref="N770">_xlfn.IFS(I770="Rob","Robusta",I770="Exc","Excelsa",I770="Ara","Arabica",I770="Lib","Liberica")</f>
        <v>Robusta</v>
      </c>
      <c r="O770" t="str" cm="1">
        <f t="array" ref="O770">_xlfn.IFS(J770="M","Medium",J770="L","Light",J770="D","Dark")</f>
        <v>Light</v>
      </c>
      <c r="P770" t="str">
        <f>_xlfn.XLOOKUP(Orders[[#This Row],[Customer ID]],customers!$A$1:$A$1001,customers!$I$1:$I$1001,,0)</f>
        <v>No</v>
      </c>
    </row>
    <row r="771" spans="1:16" x14ac:dyDescent="0.25">
      <c r="A771" s="2" t="s">
        <v>4836</v>
      </c>
      <c r="B771" s="3">
        <v>43912</v>
      </c>
      <c r="C771" s="2" t="s">
        <v>4837</v>
      </c>
      <c r="D771" t="s">
        <v>6151</v>
      </c>
      <c r="E771" s="2">
        <v>6</v>
      </c>
      <c r="F771" s="2" t="str">
        <f>_xlfn.XLOOKUP(orders!C771,customers!$A$2:$A$1001,customers!$B$2:$B$1001)</f>
        <v>Dalia Eburah</v>
      </c>
      <c r="G771" s="2" t="str">
        <f>IF(_xlfn.XLOOKUP(C771,customers!$A$2:$A$1001,customers!$C$2:$C$1001,,)=0,"",_xlfn.XLOOKUP(C771,customers!$A$2:$A$1001,customers!$C$2:$C$1001,,))</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L771*E771</f>
        <v>137.31</v>
      </c>
      <c r="N771" t="str" cm="1">
        <f t="array" ref="N771">_xlfn.IFS(I771="Rob","Robusta",I771="Exc","Excelsa",I771="Ara","Arabica",I771="Lib","Liberica")</f>
        <v>Robusta</v>
      </c>
      <c r="O771" t="str" cm="1">
        <f t="array" ref="O771">_xlfn.IFS(J771="M","Medium",J771="L","Light",J771="D","Dark")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_xlfn.XLOOKUP(orders!C772,customers!$A$2:$A$1001,customers!$B$2:$B$1001)</f>
        <v>Martie Brimilcombe</v>
      </c>
      <c r="G772" s="2" t="str">
        <f>IF(_xlfn.XLOOKUP(C772,customers!$A$2:$A$1001,customers!$C$2:$C$1001,,)=0,"",_xlfn.XLOOKUP(C772,customers!$A$2:$A$1001,customers!$C$2:$C$1001,,))</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cm="1">
        <f t="array" ref="N772">_xlfn.IFS(I772="Rob","Robusta",I772="Exc","Excelsa",I772="Ara","Arabica",I772="Lib","Liberica")</f>
        <v>Arabica</v>
      </c>
      <c r="O772" t="str" cm="1">
        <f t="array" ref="O772">_xlfn.IFS(J772="M","Medium",J772="L","Light",J772="D","Dark")</f>
        <v>Dark</v>
      </c>
      <c r="P772" t="str">
        <f>_xlfn.XLOOKUP(Orders[[#This Row],[Customer ID]],customers!$A$1:$A$1001,customers!$I$1:$I$1001,,0)</f>
        <v>No</v>
      </c>
    </row>
    <row r="773" spans="1:16" x14ac:dyDescent="0.25">
      <c r="A773" s="2" t="s">
        <v>4847</v>
      </c>
      <c r="B773" s="3">
        <v>43468</v>
      </c>
      <c r="C773" s="2" t="s">
        <v>4848</v>
      </c>
      <c r="D773" t="s">
        <v>6173</v>
      </c>
      <c r="E773" s="2">
        <v>3</v>
      </c>
      <c r="F773" s="2" t="str">
        <f>_xlfn.XLOOKUP(orders!C773,customers!$A$2:$A$1001,customers!$B$2:$B$1001)</f>
        <v>Suzanna Bollam</v>
      </c>
      <c r="G773" s="2" t="str">
        <f>IF(_xlfn.XLOOKUP(C773,customers!$A$2:$A$1001,customers!$C$2:$C$1001,,)=0,"",_xlfn.XLOOKUP(C773,customers!$A$2:$A$1001,customers!$C$2:$C$1001,,))</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cm="1">
        <f t="array" ref="N773">_xlfn.IFS(I773="Rob","Robusta",I773="Exc","Excelsa",I773="Ara","Arabica",I773="Lib","Liberica")</f>
        <v>Robusta</v>
      </c>
      <c r="O773" t="str" cm="1">
        <f t="array" ref="O773">_xlfn.IFS(J773="M","Medium",J773="L","Light",J773="D","Dark")</f>
        <v>Light</v>
      </c>
      <c r="P773" t="str">
        <f>_xlfn.XLOOKUP(Orders[[#This Row],[Customer ID]],customers!$A$1:$A$1001,customers!$I$1:$I$1001,,0)</f>
        <v>No</v>
      </c>
    </row>
    <row r="774" spans="1:16" x14ac:dyDescent="0.25">
      <c r="A774" s="2" t="s">
        <v>4853</v>
      </c>
      <c r="B774" s="3">
        <v>44468</v>
      </c>
      <c r="C774" s="2" t="s">
        <v>4854</v>
      </c>
      <c r="D774" t="s">
        <v>6141</v>
      </c>
      <c r="E774" s="2">
        <v>6</v>
      </c>
      <c r="F774" s="2" t="str">
        <f>_xlfn.XLOOKUP(orders!C774,customers!$A$2:$A$1001,customers!$B$2:$B$1001)</f>
        <v>Mellisa Mebes</v>
      </c>
      <c r="G774" s="2" t="str">
        <f>IF(_xlfn.XLOOKUP(C774,customers!$A$2:$A$1001,customers!$C$2:$C$1001,,)=0,"",_xlfn.XLOOKUP(C774,customers!$A$2:$A$1001,customers!$C$2:$C$1001,,))</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cm="1">
        <f t="array" ref="N774">_xlfn.IFS(I774="Rob","Robusta",I774="Exc","Excelsa",I774="Ara","Arabica",I774="Lib","Liberica")</f>
        <v>Excelsa</v>
      </c>
      <c r="O774" t="str" cm="1">
        <f t="array" ref="O774">_xlfn.IFS(J774="M","Medium",J774="L","Light",J774="D","Dark")</f>
        <v>Medium</v>
      </c>
      <c r="P774" t="str">
        <f>_xlfn.XLOOKUP(Orders[[#This Row],[Customer ID]],customers!$A$1:$A$1001,customers!$I$1:$I$1001,,0)</f>
        <v>No</v>
      </c>
    </row>
    <row r="775" spans="1:16" x14ac:dyDescent="0.25">
      <c r="A775" s="2" t="s">
        <v>4858</v>
      </c>
      <c r="B775" s="3">
        <v>44488</v>
      </c>
      <c r="C775" s="2" t="s">
        <v>4859</v>
      </c>
      <c r="D775" t="s">
        <v>6159</v>
      </c>
      <c r="E775" s="2">
        <v>2</v>
      </c>
      <c r="F775" s="2" t="str">
        <f>_xlfn.XLOOKUP(orders!C775,customers!$A$2:$A$1001,customers!$B$2:$B$1001)</f>
        <v>Alva Filipczak</v>
      </c>
      <c r="G775" s="2" t="str">
        <f>IF(_xlfn.XLOOKUP(C775,customers!$A$2:$A$1001,customers!$C$2:$C$1001,,)=0,"",_xlfn.XLOOKUP(C775,customers!$A$2:$A$1001,customers!$C$2:$C$1001,,))</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cm="1">
        <f t="array" ref="N775">_xlfn.IFS(I775="Rob","Robusta",I775="Exc","Excelsa",I775="Ara","Arabica",I775="Lib","Liberica")</f>
        <v>Liberica</v>
      </c>
      <c r="O775" t="str" cm="1">
        <f t="array" ref="O775">_xlfn.IFS(J775="M","Medium",J775="L","Light",J775="D","Dark")</f>
        <v>Medium</v>
      </c>
      <c r="P775" t="str">
        <f>_xlfn.XLOOKUP(Orders[[#This Row],[Customer ID]],customers!$A$1:$A$1001,customers!$I$1:$I$1001,,0)</f>
        <v>No</v>
      </c>
    </row>
    <row r="776" spans="1:16" x14ac:dyDescent="0.25">
      <c r="A776" s="2" t="s">
        <v>4864</v>
      </c>
      <c r="B776" s="3">
        <v>44756</v>
      </c>
      <c r="C776" s="2" t="s">
        <v>4865</v>
      </c>
      <c r="D776" t="s">
        <v>6138</v>
      </c>
      <c r="E776" s="2">
        <v>2</v>
      </c>
      <c r="F776" s="2" t="str">
        <f>_xlfn.XLOOKUP(orders!C776,customers!$A$2:$A$1001,customers!$B$2:$B$1001)</f>
        <v>Dorette Hinemoor</v>
      </c>
      <c r="G776" s="2" t="str">
        <f>IF(_xlfn.XLOOKUP(C776,customers!$A$2:$A$1001,customers!$C$2:$C$1001,,)=0,"",_xlfn.XLOOKUP(C776,customers!$A$2:$A$1001,customers!$C$2:$C$1001,,))</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cm="1">
        <f t="array" ref="N776">_xlfn.IFS(I776="Rob","Robusta",I776="Exc","Excelsa",I776="Ara","Arabica",I776="Lib","Liberica")</f>
        <v>Robusta</v>
      </c>
      <c r="O776" t="str" cm="1">
        <f t="array" ref="O776">_xlfn.IFS(J776="M","Medium",J776="L","Light",J776="D","Dark")</f>
        <v>Medium</v>
      </c>
      <c r="P776" t="str">
        <f>_xlfn.XLOOKUP(Orders[[#This Row],[Customer ID]],customers!$A$1:$A$1001,customers!$I$1:$I$1001,,0)</f>
        <v>Yes</v>
      </c>
    </row>
    <row r="777" spans="1:16" x14ac:dyDescent="0.25">
      <c r="A777" s="2" t="s">
        <v>4869</v>
      </c>
      <c r="B777" s="3">
        <v>44396</v>
      </c>
      <c r="C777" s="2" t="s">
        <v>4870</v>
      </c>
      <c r="D777" t="s">
        <v>6176</v>
      </c>
      <c r="E777" s="2">
        <v>2</v>
      </c>
      <c r="F777" s="2" t="str">
        <f>_xlfn.XLOOKUP(orders!C777,customers!$A$2:$A$1001,customers!$B$2:$B$1001)</f>
        <v>Rhetta Elnaugh</v>
      </c>
      <c r="G777" s="2" t="str">
        <f>IF(_xlfn.XLOOKUP(C777,customers!$A$2:$A$1001,customers!$C$2:$C$1001,,)=0,"",_xlfn.XLOOKUP(C777,customers!$A$2:$A$1001,customers!$C$2:$C$1001,,))</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cm="1">
        <f t="array" ref="N777">_xlfn.IFS(I777="Rob","Robusta",I777="Exc","Excelsa",I777="Ara","Arabica",I777="Lib","Liberica")</f>
        <v>Excelsa</v>
      </c>
      <c r="O777" t="str" cm="1">
        <f t="array" ref="O777">_xlfn.IFS(J777="M","Medium",J777="L","Light",J777="D","Dark")</f>
        <v>Light</v>
      </c>
      <c r="P777" t="str">
        <f>_xlfn.XLOOKUP(Orders[[#This Row],[Customer ID]],customers!$A$1:$A$1001,customers!$I$1:$I$1001,,0)</f>
        <v>Yes</v>
      </c>
    </row>
    <row r="778" spans="1:16" x14ac:dyDescent="0.25">
      <c r="A778" s="2" t="s">
        <v>4875</v>
      </c>
      <c r="B778" s="3">
        <v>44540</v>
      </c>
      <c r="C778" s="2" t="s">
        <v>4876</v>
      </c>
      <c r="D778" t="s">
        <v>6157</v>
      </c>
      <c r="E778" s="2">
        <v>3</v>
      </c>
      <c r="F778" s="2" t="str">
        <f>_xlfn.XLOOKUP(orders!C778,customers!$A$2:$A$1001,customers!$B$2:$B$1001)</f>
        <v>Jule Deehan</v>
      </c>
      <c r="G778" s="2" t="str">
        <f>IF(_xlfn.XLOOKUP(C778,customers!$A$2:$A$1001,customers!$C$2:$C$1001,,)=0,"",_xlfn.XLOOKUP(C778,customers!$A$2:$A$1001,customers!$C$2:$C$1001,,))</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cm="1">
        <f t="array" ref="N778">_xlfn.IFS(I778="Rob","Robusta",I778="Exc","Excelsa",I778="Ara","Arabica",I778="Lib","Liberica")</f>
        <v>Arabica</v>
      </c>
      <c r="O778" t="str" cm="1">
        <f t="array" ref="O778">_xlfn.IFS(J778="M","Medium",J778="L","Light",J778="D","Dark")</f>
        <v>Medium</v>
      </c>
      <c r="P778" t="str">
        <f>_xlfn.XLOOKUP(Orders[[#This Row],[Customer ID]],customers!$A$1:$A$1001,customers!$I$1:$I$1001,,0)</f>
        <v>No</v>
      </c>
    </row>
    <row r="779" spans="1:16" x14ac:dyDescent="0.25">
      <c r="A779" s="2" t="s">
        <v>4881</v>
      </c>
      <c r="B779" s="3">
        <v>43541</v>
      </c>
      <c r="C779" s="2" t="s">
        <v>4882</v>
      </c>
      <c r="D779" t="s">
        <v>6182</v>
      </c>
      <c r="E779" s="2">
        <v>2</v>
      </c>
      <c r="F779" s="2" t="str">
        <f>_xlfn.XLOOKUP(orders!C779,customers!$A$2:$A$1001,customers!$B$2:$B$1001)</f>
        <v>Janella Eden</v>
      </c>
      <c r="G779" s="2" t="str">
        <f>IF(_xlfn.XLOOKUP(C779,customers!$A$2:$A$1001,customers!$C$2:$C$1001,,)=0,"",_xlfn.XLOOKUP(C779,customers!$A$2:$A$1001,customers!$C$2:$C$1001,,))</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cm="1">
        <f t="array" ref="N779">_xlfn.IFS(I779="Rob","Robusta",I779="Exc","Excelsa",I779="Ara","Arabica",I779="Lib","Liberica")</f>
        <v>Arabica</v>
      </c>
      <c r="O779" t="str" cm="1">
        <f t="array" ref="O779">_xlfn.IFS(J779="M","Medium",J779="L","Light",J779="D","Dark")</f>
        <v>Light</v>
      </c>
      <c r="P779" t="str">
        <f>_xlfn.XLOOKUP(Orders[[#This Row],[Customer ID]],customers!$A$1:$A$1001,customers!$I$1:$I$1001,,0)</f>
        <v>No</v>
      </c>
    </row>
    <row r="780" spans="1:16" x14ac:dyDescent="0.25">
      <c r="A780" s="2" t="s">
        <v>4886</v>
      </c>
      <c r="B780" s="3">
        <v>43889</v>
      </c>
      <c r="C780" s="2" t="s">
        <v>4933</v>
      </c>
      <c r="D780" t="s">
        <v>6161</v>
      </c>
      <c r="E780" s="2">
        <v>2</v>
      </c>
      <c r="F780" s="2" t="str">
        <f>_xlfn.XLOOKUP(orders!C780,customers!$A$2:$A$1001,customers!$B$2:$B$1001)</f>
        <v>Cam Jewster</v>
      </c>
      <c r="G780" s="2" t="str">
        <f>IF(_xlfn.XLOOKUP(C780,customers!$A$2:$A$1001,customers!$C$2:$C$1001,,)=0,"",_xlfn.XLOOKUP(C780,customers!$A$2:$A$1001,customers!$C$2:$C$1001,,))</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cm="1">
        <f t="array" ref="N780">_xlfn.IFS(I780="Rob","Robusta",I780="Exc","Excelsa",I780="Ara","Arabica",I780="Lib","Liberica")</f>
        <v>Liberica</v>
      </c>
      <c r="O780" t="str" cm="1">
        <f t="array" ref="O780">_xlfn.IFS(J780="M","Medium",J780="L","Light",J780="D","Dark")</f>
        <v>Light</v>
      </c>
      <c r="P780" t="str">
        <f>_xlfn.XLOOKUP(Orders[[#This Row],[Customer ID]],customers!$A$1:$A$1001,customers!$I$1:$I$1001,,0)</f>
        <v>Yes</v>
      </c>
    </row>
    <row r="781" spans="1:16" x14ac:dyDescent="0.25">
      <c r="A781" s="2" t="s">
        <v>4892</v>
      </c>
      <c r="B781" s="3">
        <v>43985</v>
      </c>
      <c r="C781" s="2" t="s">
        <v>4893</v>
      </c>
      <c r="D781" t="s">
        <v>6143</v>
      </c>
      <c r="E781" s="2">
        <v>6</v>
      </c>
      <c r="F781" s="2" t="str">
        <f>_xlfn.XLOOKUP(orders!C781,customers!$A$2:$A$1001,customers!$B$2:$B$1001)</f>
        <v>Ugo Southerden</v>
      </c>
      <c r="G781" s="2" t="str">
        <f>IF(_xlfn.XLOOKUP(C781,customers!$A$2:$A$1001,customers!$C$2:$C$1001,,)=0,"",_xlfn.XLOOKUP(C781,customers!$A$2:$A$1001,customers!$C$2:$C$1001,,))</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cm="1">
        <f t="array" ref="N781">_xlfn.IFS(I781="Rob","Robusta",I781="Exc","Excelsa",I781="Ara","Arabica",I781="Lib","Liberica")</f>
        <v>Liberica</v>
      </c>
      <c r="O781" t="str" cm="1">
        <f t="array" ref="O781">_xlfn.IFS(J781="M","Medium",J781="L","Light",J781="D","Dark")</f>
        <v>Dark</v>
      </c>
      <c r="P781" t="str">
        <f>_xlfn.XLOOKUP(Orders[[#This Row],[Customer ID]],customers!$A$1:$A$1001,customers!$I$1:$I$1001,,0)</f>
        <v>Yes</v>
      </c>
    </row>
    <row r="782" spans="1:16" x14ac:dyDescent="0.25">
      <c r="A782" s="2" t="s">
        <v>4898</v>
      </c>
      <c r="B782" s="3">
        <v>43883</v>
      </c>
      <c r="C782" s="2" t="s">
        <v>4899</v>
      </c>
      <c r="D782" t="s">
        <v>6141</v>
      </c>
      <c r="E782" s="2">
        <v>3</v>
      </c>
      <c r="F782" s="2" t="str">
        <f>_xlfn.XLOOKUP(orders!C782,customers!$A$2:$A$1001,customers!$B$2:$B$1001)</f>
        <v>Verne Dunkerley</v>
      </c>
      <c r="G782" s="2" t="str">
        <f>IF(_xlfn.XLOOKUP(C782,customers!$A$2:$A$1001,customers!$C$2:$C$1001,,)=0,"",_xlfn.XLOOKUP(C782,customers!$A$2:$A$1001,customers!$C$2:$C$1001,,))</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cm="1">
        <f t="array" ref="N782">_xlfn.IFS(I782="Rob","Robusta",I782="Exc","Excelsa",I782="Ara","Arabica",I782="Lib","Liberica")</f>
        <v>Excelsa</v>
      </c>
      <c r="O782" t="str" cm="1">
        <f t="array" ref="O782">_xlfn.IFS(J782="M","Medium",J782="L","Light",J782="D","Dark")</f>
        <v>Medium</v>
      </c>
      <c r="P782" t="str">
        <f>_xlfn.XLOOKUP(Orders[[#This Row],[Customer ID]],customers!$A$1:$A$1001,customers!$I$1:$I$1001,,0)</f>
        <v>No</v>
      </c>
    </row>
    <row r="783" spans="1:16" x14ac:dyDescent="0.25">
      <c r="A783" s="2" t="s">
        <v>4903</v>
      </c>
      <c r="B783" s="3">
        <v>43778</v>
      </c>
      <c r="C783" s="2" t="s">
        <v>4904</v>
      </c>
      <c r="D783" t="s">
        <v>6164</v>
      </c>
      <c r="E783" s="2">
        <v>4</v>
      </c>
      <c r="F783" s="2" t="str">
        <f>_xlfn.XLOOKUP(orders!C783,customers!$A$2:$A$1001,customers!$B$2:$B$1001)</f>
        <v>Lacee Burtenshaw</v>
      </c>
      <c r="G783" s="2" t="str">
        <f>IF(_xlfn.XLOOKUP(C783,customers!$A$2:$A$1001,customers!$C$2:$C$1001,,)=0,"",_xlfn.XLOOKUP(C783,customers!$A$2:$A$1001,customers!$C$2:$C$1001,,))</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cm="1">
        <f t="array" ref="N783">_xlfn.IFS(I783="Rob","Robusta",I783="Exc","Excelsa",I783="Ara","Arabica",I783="Lib","Liberica")</f>
        <v>Liberica</v>
      </c>
      <c r="O783" t="str" cm="1">
        <f t="array" ref="O783">_xlfn.IFS(J783="M","Medium",J783="L","Light",J783="D","Dark")</f>
        <v>Light</v>
      </c>
      <c r="P783" t="str">
        <f>_xlfn.XLOOKUP(Orders[[#This Row],[Customer ID]],customers!$A$1:$A$1001,customers!$I$1:$I$1001,,0)</f>
        <v>No</v>
      </c>
    </row>
    <row r="784" spans="1:16" x14ac:dyDescent="0.25">
      <c r="A784" s="2" t="s">
        <v>4909</v>
      </c>
      <c r="B784" s="3">
        <v>43897</v>
      </c>
      <c r="C784" s="2" t="s">
        <v>4910</v>
      </c>
      <c r="D784" t="s">
        <v>6184</v>
      </c>
      <c r="E784" s="2">
        <v>6</v>
      </c>
      <c r="F784" s="2" t="str">
        <f>_xlfn.XLOOKUP(orders!C784,customers!$A$2:$A$1001,customers!$B$2:$B$1001)</f>
        <v>Adorne Gregoratti</v>
      </c>
      <c r="G784" s="2" t="str">
        <f>IF(_xlfn.XLOOKUP(C784,customers!$A$2:$A$1001,customers!$C$2:$C$1001,,)=0,"",_xlfn.XLOOKUP(C784,customers!$A$2:$A$1001,customers!$C$2:$C$1001,,))</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cm="1">
        <f t="array" ref="N784">_xlfn.IFS(I784="Rob","Robusta",I784="Exc","Excelsa",I784="Ara","Arabica",I784="Lib","Liberica")</f>
        <v>Excelsa</v>
      </c>
      <c r="O784" t="str" cm="1">
        <f t="array" ref="O784">_xlfn.IFS(J784="M","Medium",J784="L","Light",J784="D","Dark")</f>
        <v>Light</v>
      </c>
      <c r="P784" t="str">
        <f>_xlfn.XLOOKUP(Orders[[#This Row],[Customer ID]],customers!$A$1:$A$1001,customers!$I$1:$I$1001,,0)</f>
        <v>No</v>
      </c>
    </row>
    <row r="785" spans="1:16" x14ac:dyDescent="0.25">
      <c r="A785" s="2" t="s">
        <v>4915</v>
      </c>
      <c r="B785" s="3">
        <v>44312</v>
      </c>
      <c r="C785" s="2" t="s">
        <v>4916</v>
      </c>
      <c r="D785" t="s">
        <v>6160</v>
      </c>
      <c r="E785" s="2">
        <v>5</v>
      </c>
      <c r="F785" s="2" t="str">
        <f>_xlfn.XLOOKUP(orders!C785,customers!$A$2:$A$1001,customers!$B$2:$B$1001)</f>
        <v>Chris Croster</v>
      </c>
      <c r="G785" s="2" t="str">
        <f>IF(_xlfn.XLOOKUP(C785,customers!$A$2:$A$1001,customers!$C$2:$C$1001,,)=0,"",_xlfn.XLOOKUP(C785,customers!$A$2:$A$1001,customers!$C$2:$C$1001,,))</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cm="1">
        <f t="array" ref="N785">_xlfn.IFS(I785="Rob","Robusta",I785="Exc","Excelsa",I785="Ara","Arabica",I785="Lib","Liberica")</f>
        <v>Liberica</v>
      </c>
      <c r="O785" t="str" cm="1">
        <f t="array" ref="O785">_xlfn.IFS(J785="M","Medium",J785="L","Light",J785="D","Dark")</f>
        <v>Medium</v>
      </c>
      <c r="P785" t="str">
        <f>_xlfn.XLOOKUP(Orders[[#This Row],[Customer ID]],customers!$A$1:$A$1001,customers!$I$1:$I$1001,,0)</f>
        <v>Yes</v>
      </c>
    </row>
    <row r="786" spans="1:16" x14ac:dyDescent="0.25">
      <c r="A786" s="2" t="s">
        <v>4921</v>
      </c>
      <c r="B786" s="3">
        <v>44511</v>
      </c>
      <c r="C786" s="2" t="s">
        <v>4922</v>
      </c>
      <c r="D786" t="s">
        <v>6170</v>
      </c>
      <c r="E786" s="2">
        <v>2</v>
      </c>
      <c r="F786" s="2" t="str">
        <f>_xlfn.XLOOKUP(orders!C786,customers!$A$2:$A$1001,customers!$B$2:$B$1001)</f>
        <v>Graeme Whitehead</v>
      </c>
      <c r="G786" s="2" t="str">
        <f>IF(_xlfn.XLOOKUP(C786,customers!$A$2:$A$1001,customers!$C$2:$C$1001,,)=0,"",_xlfn.XLOOKUP(C786,customers!$A$2:$A$1001,customers!$C$2:$C$1001,,))</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cm="1">
        <f t="array" ref="N786">_xlfn.IFS(I786="Rob","Robusta",I786="Exc","Excelsa",I786="Ara","Arabica",I786="Lib","Liberica")</f>
        <v>Liberica</v>
      </c>
      <c r="O786" t="str" cm="1">
        <f t="array" ref="O786">_xlfn.IFS(J786="M","Medium",J786="L","Light",J786="D","Dark")</f>
        <v>Light</v>
      </c>
      <c r="P786" t="str">
        <f>_xlfn.XLOOKUP(Orders[[#This Row],[Customer ID]],customers!$A$1:$A$1001,customers!$I$1:$I$1001,,0)</f>
        <v>No</v>
      </c>
    </row>
    <row r="787" spans="1:16" x14ac:dyDescent="0.25">
      <c r="A787" s="2" t="s">
        <v>4926</v>
      </c>
      <c r="B787" s="3">
        <v>44362</v>
      </c>
      <c r="C787" s="2" t="s">
        <v>4927</v>
      </c>
      <c r="D787" t="s">
        <v>6168</v>
      </c>
      <c r="E787" s="2">
        <v>1</v>
      </c>
      <c r="F787" s="2" t="str">
        <f>_xlfn.XLOOKUP(orders!C787,customers!$A$2:$A$1001,customers!$B$2:$B$1001)</f>
        <v>Haslett Jodrelle</v>
      </c>
      <c r="G787" s="2" t="str">
        <f>IF(_xlfn.XLOOKUP(C787,customers!$A$2:$A$1001,customers!$C$2:$C$1001,,)=0,"",_xlfn.XLOOKUP(C787,customers!$A$2:$A$1001,customers!$C$2:$C$1001,,))</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cm="1">
        <f t="array" ref="N787">_xlfn.IFS(I787="Rob","Robusta",I787="Exc","Excelsa",I787="Ara","Arabica",I787="Lib","Liberica")</f>
        <v>Arabica</v>
      </c>
      <c r="O787" t="str" cm="1">
        <f t="array" ref="O787">_xlfn.IFS(J787="M","Medium",J787="L","Light",J787="D","Dark")</f>
        <v>Dark</v>
      </c>
      <c r="P787" t="str">
        <f>_xlfn.XLOOKUP(Orders[[#This Row],[Customer ID]],customers!$A$1:$A$1001,customers!$I$1:$I$1001,,0)</f>
        <v>No</v>
      </c>
    </row>
    <row r="788" spans="1:16" x14ac:dyDescent="0.25">
      <c r="A788" s="2" t="s">
        <v>4932</v>
      </c>
      <c r="B788" s="3">
        <v>43888</v>
      </c>
      <c r="C788" s="2" t="s">
        <v>4933</v>
      </c>
      <c r="D788" t="s">
        <v>6185</v>
      </c>
      <c r="E788" s="2">
        <v>1</v>
      </c>
      <c r="F788" s="2" t="str">
        <f>_xlfn.XLOOKUP(orders!C788,customers!$A$2:$A$1001,customers!$B$2:$B$1001)</f>
        <v>Cam Jewster</v>
      </c>
      <c r="G788" s="2" t="str">
        <f>IF(_xlfn.XLOOKUP(C788,customers!$A$2:$A$1001,customers!$C$2:$C$1001,,)=0,"",_xlfn.XLOOKUP(C788,customers!$A$2:$A$1001,customers!$C$2:$C$1001,,))</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cm="1">
        <f t="array" ref="N788">_xlfn.IFS(I788="Rob","Robusta",I788="Exc","Excelsa",I788="Ara","Arabica",I788="Lib","Liberica")</f>
        <v>Excelsa</v>
      </c>
      <c r="O788" t="str" cm="1">
        <f t="array" ref="O788">_xlfn.IFS(J788="M","Medium",J788="L","Light",J788="D","Dark")</f>
        <v>Dark</v>
      </c>
      <c r="P788" t="str">
        <f>_xlfn.XLOOKUP(Orders[[#This Row],[Customer ID]],customers!$A$1:$A$1001,customers!$I$1:$I$1001,,0)</f>
        <v>Yes</v>
      </c>
    </row>
    <row r="789" spans="1:16" x14ac:dyDescent="0.25">
      <c r="A789" s="2" t="s">
        <v>4938</v>
      </c>
      <c r="B789" s="3">
        <v>44305</v>
      </c>
      <c r="C789" s="2" t="s">
        <v>4939</v>
      </c>
      <c r="D789" t="s">
        <v>6141</v>
      </c>
      <c r="E789" s="2">
        <v>6</v>
      </c>
      <c r="F789" s="2" t="str">
        <f>_xlfn.XLOOKUP(orders!C789,customers!$A$2:$A$1001,customers!$B$2:$B$1001)</f>
        <v>Beryl Osborn</v>
      </c>
      <c r="G789" s="2" t="str">
        <f>IF(_xlfn.XLOOKUP(C789,customers!$A$2:$A$1001,customers!$C$2:$C$1001,,)=0,"",_xlfn.XLOOKUP(C789,customers!$A$2:$A$1001,customers!$C$2:$C$1001,,))</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cm="1">
        <f t="array" ref="N789">_xlfn.IFS(I789="Rob","Robusta",I789="Exc","Excelsa",I789="Ara","Arabica",I789="Lib","Liberica")</f>
        <v>Excelsa</v>
      </c>
      <c r="O789" t="str" cm="1">
        <f t="array" ref="O789">_xlfn.IFS(J789="M","Medium",J789="L","Light",J789="D","Dark")</f>
        <v>Medium</v>
      </c>
      <c r="P789" t="str">
        <f>_xlfn.XLOOKUP(Orders[[#This Row],[Customer ID]],customers!$A$1:$A$1001,customers!$I$1:$I$1001,,0)</f>
        <v>Yes</v>
      </c>
    </row>
    <row r="790" spans="1:16" x14ac:dyDescent="0.25">
      <c r="A790" s="2" t="s">
        <v>4943</v>
      </c>
      <c r="B790" s="3">
        <v>44771</v>
      </c>
      <c r="C790" s="2" t="s">
        <v>4944</v>
      </c>
      <c r="D790" t="s">
        <v>6151</v>
      </c>
      <c r="E790" s="2">
        <v>2</v>
      </c>
      <c r="F790" s="2" t="str">
        <f>_xlfn.XLOOKUP(orders!C790,customers!$A$2:$A$1001,customers!$B$2:$B$1001)</f>
        <v>Kaela Nottram</v>
      </c>
      <c r="G790" s="2" t="str">
        <f>IF(_xlfn.XLOOKUP(C790,customers!$A$2:$A$1001,customers!$C$2:$C$1001,,)=0,"",_xlfn.XLOOKUP(C790,customers!$A$2:$A$1001,customers!$C$2:$C$1001,,))</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cm="1">
        <f t="array" ref="N790">_xlfn.IFS(I790="Rob","Robusta",I790="Exc","Excelsa",I790="Ara","Arabica",I790="Lib","Liberica")</f>
        <v>Robusta</v>
      </c>
      <c r="O790" t="str" cm="1">
        <f t="array" ref="O790">_xlfn.IFS(J790="M","Medium",J790="L","Light",J790="D","Dark")</f>
        <v>Medium</v>
      </c>
      <c r="P790" t="str">
        <f>_xlfn.XLOOKUP(Orders[[#This Row],[Customer ID]],customers!$A$1:$A$1001,customers!$I$1:$I$1001,,0)</f>
        <v>Yes</v>
      </c>
    </row>
    <row r="791" spans="1:16" x14ac:dyDescent="0.25">
      <c r="A791" s="2" t="s">
        <v>4949</v>
      </c>
      <c r="B791" s="3">
        <v>43485</v>
      </c>
      <c r="C791" s="2" t="s">
        <v>4950</v>
      </c>
      <c r="D791" t="s">
        <v>6140</v>
      </c>
      <c r="E791" s="2">
        <v>6</v>
      </c>
      <c r="F791" s="2" t="str">
        <f>_xlfn.XLOOKUP(orders!C791,customers!$A$2:$A$1001,customers!$B$2:$B$1001)</f>
        <v>Nobe Buney</v>
      </c>
      <c r="G791" s="2" t="str">
        <f>IF(_xlfn.XLOOKUP(C791,customers!$A$2:$A$1001,customers!$C$2:$C$1001,,)=0,"",_xlfn.XLOOKUP(C791,customers!$A$2:$A$1001,customers!$C$2:$C$1001,,))</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cm="1">
        <f t="array" ref="N791">_xlfn.IFS(I791="Rob","Robusta",I791="Exc","Excelsa",I791="Ara","Arabica",I791="Lib","Liberica")</f>
        <v>Arabica</v>
      </c>
      <c r="O791" t="str" cm="1">
        <f t="array" ref="O791">_xlfn.IFS(J791="M","Medium",J791="L","Light",J791="D","Dark")</f>
        <v>Light</v>
      </c>
      <c r="P791" t="str">
        <f>_xlfn.XLOOKUP(Orders[[#This Row],[Customer ID]],customers!$A$1:$A$1001,customers!$I$1:$I$1001,,0)</f>
        <v>No</v>
      </c>
    </row>
    <row r="792" spans="1:16" x14ac:dyDescent="0.25">
      <c r="A792" s="2" t="s">
        <v>4955</v>
      </c>
      <c r="B792" s="3">
        <v>44613</v>
      </c>
      <c r="C792" s="2" t="s">
        <v>4956</v>
      </c>
      <c r="D792" t="s">
        <v>6180</v>
      </c>
      <c r="E792" s="2">
        <v>3</v>
      </c>
      <c r="F792" s="2" t="str">
        <f>_xlfn.XLOOKUP(orders!C792,customers!$A$2:$A$1001,customers!$B$2:$B$1001)</f>
        <v>Silvan McShea</v>
      </c>
      <c r="G792" s="2" t="str">
        <f>IF(_xlfn.XLOOKUP(C792,customers!$A$2:$A$1001,customers!$C$2:$C$1001,,)=0,"",_xlfn.XLOOKUP(C792,customers!$A$2:$A$1001,customers!$C$2:$C$1001,,))</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cm="1">
        <f t="array" ref="N792">_xlfn.IFS(I792="Rob","Robusta",I792="Exc","Excelsa",I792="Ara","Arabica",I792="Lib","Liberica")</f>
        <v>Arabica</v>
      </c>
      <c r="O792" t="str" cm="1">
        <f t="array" ref="O792">_xlfn.IFS(J792="M","Medium",J792="L","Light",J792="D","Dark")</f>
        <v>Light</v>
      </c>
      <c r="P792" t="str">
        <f>_xlfn.XLOOKUP(Orders[[#This Row],[Customer ID]],customers!$A$1:$A$1001,customers!$I$1:$I$1001,,0)</f>
        <v>No</v>
      </c>
    </row>
    <row r="793" spans="1:16" x14ac:dyDescent="0.25">
      <c r="A793" s="2" t="s">
        <v>4961</v>
      </c>
      <c r="B793" s="3">
        <v>43954</v>
      </c>
      <c r="C793" s="2" t="s">
        <v>4962</v>
      </c>
      <c r="D793" t="s">
        <v>6145</v>
      </c>
      <c r="E793" s="2">
        <v>5</v>
      </c>
      <c r="F793" s="2" t="str">
        <f>_xlfn.XLOOKUP(orders!C793,customers!$A$2:$A$1001,customers!$B$2:$B$1001)</f>
        <v>Karylin Huddart</v>
      </c>
      <c r="G793" s="2" t="str">
        <f>IF(_xlfn.XLOOKUP(C793,customers!$A$2:$A$1001,customers!$C$2:$C$1001,,)=0,"",_xlfn.XLOOKUP(C793,customers!$A$2:$A$1001,customers!$C$2:$C$1001,,))</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cm="1">
        <f t="array" ref="N793">_xlfn.IFS(I793="Rob","Robusta",I793="Exc","Excelsa",I793="Ara","Arabica",I793="Lib","Liberica")</f>
        <v>Liberica</v>
      </c>
      <c r="O793" t="str" cm="1">
        <f t="array" ref="O793">_xlfn.IFS(J793="M","Medium",J793="L","Light",J793="D","Dark")</f>
        <v>Light</v>
      </c>
      <c r="P793" t="str">
        <f>_xlfn.XLOOKUP(Orders[[#This Row],[Customer ID]],customers!$A$1:$A$1001,customers!$I$1:$I$1001,,0)</f>
        <v>Yes</v>
      </c>
    </row>
    <row r="794" spans="1:16" x14ac:dyDescent="0.25">
      <c r="A794" s="2" t="s">
        <v>4967</v>
      </c>
      <c r="B794" s="3">
        <v>43545</v>
      </c>
      <c r="C794" s="2" t="s">
        <v>4968</v>
      </c>
      <c r="D794" t="s">
        <v>6160</v>
      </c>
      <c r="E794" s="2">
        <v>6</v>
      </c>
      <c r="F794" s="2" t="str">
        <f>_xlfn.XLOOKUP(orders!C794,customers!$A$2:$A$1001,customers!$B$2:$B$1001)</f>
        <v>Jereme Gippes</v>
      </c>
      <c r="G794" s="2" t="str">
        <f>IF(_xlfn.XLOOKUP(C794,customers!$A$2:$A$1001,customers!$C$2:$C$1001,,)=0,"",_xlfn.XLOOKUP(C794,customers!$A$2:$A$1001,customers!$C$2:$C$1001,,))</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cm="1">
        <f t="array" ref="N794">_xlfn.IFS(I794="Rob","Robusta",I794="Exc","Excelsa",I794="Ara","Arabica",I794="Lib","Liberica")</f>
        <v>Liberica</v>
      </c>
      <c r="O794" t="str" cm="1">
        <f t="array" ref="O794">_xlfn.IFS(J794="M","Medium",J794="L","Light",J794="D","Dark")</f>
        <v>Medium</v>
      </c>
      <c r="P794" t="str">
        <f>_xlfn.XLOOKUP(Orders[[#This Row],[Customer ID]],customers!$A$1:$A$1001,customers!$I$1:$I$1001,,0)</f>
        <v>Yes</v>
      </c>
    </row>
    <row r="795" spans="1:16" x14ac:dyDescent="0.25">
      <c r="A795" s="2" t="s">
        <v>4973</v>
      </c>
      <c r="B795" s="3">
        <v>43629</v>
      </c>
      <c r="C795" s="2" t="s">
        <v>4974</v>
      </c>
      <c r="D795" t="s">
        <v>6178</v>
      </c>
      <c r="E795" s="2">
        <v>5</v>
      </c>
      <c r="F795" s="2" t="str">
        <f>_xlfn.XLOOKUP(orders!C795,customers!$A$2:$A$1001,customers!$B$2:$B$1001)</f>
        <v>Lukas Whittlesee</v>
      </c>
      <c r="G795" s="2" t="str">
        <f>IF(_xlfn.XLOOKUP(C795,customers!$A$2:$A$1001,customers!$C$2:$C$1001,,)=0,"",_xlfn.XLOOKUP(C795,customers!$A$2:$A$1001,customers!$C$2:$C$1001,,))</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cm="1">
        <f t="array" ref="N795">_xlfn.IFS(I795="Rob","Robusta",I795="Exc","Excelsa",I795="Ara","Arabica",I795="Lib","Liberica")</f>
        <v>Robusta</v>
      </c>
      <c r="O795" t="str" cm="1">
        <f t="array" ref="O795">_xlfn.IFS(J795="M","Medium",J795="L","Light",J795="D","Dark")</f>
        <v>Light</v>
      </c>
      <c r="P795" t="str">
        <f>_xlfn.XLOOKUP(Orders[[#This Row],[Customer ID]],customers!$A$1:$A$1001,customers!$I$1:$I$1001,,0)</f>
        <v>No</v>
      </c>
    </row>
    <row r="796" spans="1:16" x14ac:dyDescent="0.25">
      <c r="A796" s="2" t="s">
        <v>4979</v>
      </c>
      <c r="B796" s="3">
        <v>43987</v>
      </c>
      <c r="C796" s="2" t="s">
        <v>4980</v>
      </c>
      <c r="D796" t="s">
        <v>6182</v>
      </c>
      <c r="E796" s="2">
        <v>5</v>
      </c>
      <c r="F796" s="2" t="str">
        <f>_xlfn.XLOOKUP(orders!C796,customers!$A$2:$A$1001,customers!$B$2:$B$1001)</f>
        <v>Gregorius Trengrove</v>
      </c>
      <c r="G796" s="2" t="str">
        <f>IF(_xlfn.XLOOKUP(C796,customers!$A$2:$A$1001,customers!$C$2:$C$1001,,)=0,"",_xlfn.XLOOKUP(C796,customers!$A$2:$A$1001,customers!$C$2:$C$1001,,))</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cm="1">
        <f t="array" ref="N796">_xlfn.IFS(I796="Rob","Robusta",I796="Exc","Excelsa",I796="Ara","Arabica",I796="Lib","Liberica")</f>
        <v>Arabica</v>
      </c>
      <c r="O796" t="str" cm="1">
        <f t="array" ref="O796">_xlfn.IFS(J796="M","Medium",J796="L","Light",J796="D","Dark")</f>
        <v>Light</v>
      </c>
      <c r="P796" t="str">
        <f>_xlfn.XLOOKUP(Orders[[#This Row],[Customer ID]],customers!$A$1:$A$1001,customers!$I$1:$I$1001,,0)</f>
        <v>No</v>
      </c>
    </row>
    <row r="797" spans="1:16" x14ac:dyDescent="0.25">
      <c r="A797" s="2" t="s">
        <v>4985</v>
      </c>
      <c r="B797" s="3">
        <v>43540</v>
      </c>
      <c r="C797" s="2" t="s">
        <v>4986</v>
      </c>
      <c r="D797" t="s">
        <v>6173</v>
      </c>
      <c r="E797" s="2">
        <v>4</v>
      </c>
      <c r="F797" s="2" t="str">
        <f>_xlfn.XLOOKUP(orders!C797,customers!$A$2:$A$1001,customers!$B$2:$B$1001)</f>
        <v>Wright Caldero</v>
      </c>
      <c r="G797" s="2" t="str">
        <f>IF(_xlfn.XLOOKUP(C797,customers!$A$2:$A$1001,customers!$C$2:$C$1001,,)=0,"",_xlfn.XLOOKUP(C797,customers!$A$2:$A$1001,customers!$C$2:$C$1001,,))</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cm="1">
        <f t="array" ref="N797">_xlfn.IFS(I797="Rob","Robusta",I797="Exc","Excelsa",I797="Ara","Arabica",I797="Lib","Liberica")</f>
        <v>Robusta</v>
      </c>
      <c r="O797" t="str" cm="1">
        <f t="array" ref="O797">_xlfn.IFS(J797="M","Medium",J797="L","Light",J797="D","Dark")</f>
        <v>Light</v>
      </c>
      <c r="P797" t="str">
        <f>_xlfn.XLOOKUP(Orders[[#This Row],[Customer ID]],customers!$A$1:$A$1001,customers!$I$1:$I$1001,,0)</f>
        <v>No</v>
      </c>
    </row>
    <row r="798" spans="1:16" x14ac:dyDescent="0.25">
      <c r="A798" s="2" t="s">
        <v>4991</v>
      </c>
      <c r="B798" s="3">
        <v>44533</v>
      </c>
      <c r="C798" s="2" t="s">
        <v>4992</v>
      </c>
      <c r="D798" t="s">
        <v>6161</v>
      </c>
      <c r="E798" s="2">
        <v>1</v>
      </c>
      <c r="F798" s="2" t="str">
        <f>_xlfn.XLOOKUP(orders!C798,customers!$A$2:$A$1001,customers!$B$2:$B$1001)</f>
        <v>Merell Zanazzi</v>
      </c>
      <c r="G798" s="2" t="str">
        <f>IF(_xlfn.XLOOKUP(C798,customers!$A$2:$A$1001,customers!$C$2:$C$1001,,)=0,"",_xlfn.XLOOKUP(C798,customers!$A$2:$A$1001,customers!$C$2:$C$1001,,))</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cm="1">
        <f t="array" ref="N798">_xlfn.IFS(I798="Rob","Robusta",I798="Exc","Excelsa",I798="Ara","Arabica",I798="Lib","Liberica")</f>
        <v>Liberica</v>
      </c>
      <c r="O798" t="str" cm="1">
        <f t="array" ref="O798">_xlfn.IFS(J798="M","Medium",J798="L","Light",J798="D","Dark")</f>
        <v>Light</v>
      </c>
      <c r="P798" t="str">
        <f>_xlfn.XLOOKUP(Orders[[#This Row],[Customer ID]],customers!$A$1:$A$1001,customers!$I$1:$I$1001,,0)</f>
        <v>No</v>
      </c>
    </row>
    <row r="799" spans="1:16" x14ac:dyDescent="0.25">
      <c r="A799" s="2" t="s">
        <v>4996</v>
      </c>
      <c r="B799" s="3">
        <v>44751</v>
      </c>
      <c r="C799" s="2" t="s">
        <v>4997</v>
      </c>
      <c r="D799" t="s">
        <v>6180</v>
      </c>
      <c r="E799" s="2">
        <v>4</v>
      </c>
      <c r="F799" s="2" t="str">
        <f>_xlfn.XLOOKUP(orders!C799,customers!$A$2:$A$1001,customers!$B$2:$B$1001)</f>
        <v>Jed Kennicott</v>
      </c>
      <c r="G799" s="2" t="str">
        <f>IF(_xlfn.XLOOKUP(C799,customers!$A$2:$A$1001,customers!$C$2:$C$1001,,)=0,"",_xlfn.XLOOKUP(C799,customers!$A$2:$A$1001,customers!$C$2:$C$1001,,))</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cm="1">
        <f t="array" ref="N799">_xlfn.IFS(I799="Rob","Robusta",I799="Exc","Excelsa",I799="Ara","Arabica",I799="Lib","Liberica")</f>
        <v>Arabica</v>
      </c>
      <c r="O799" t="str" cm="1">
        <f t="array" ref="O799">_xlfn.IFS(J799="M","Medium",J799="L","Light",J799="D","Dark")</f>
        <v>Light</v>
      </c>
      <c r="P799" t="str">
        <f>_xlfn.XLOOKUP(Orders[[#This Row],[Customer ID]],customers!$A$1:$A$1001,customers!$I$1:$I$1001,,0)</f>
        <v>No</v>
      </c>
    </row>
    <row r="800" spans="1:16" x14ac:dyDescent="0.25">
      <c r="A800" s="2" t="s">
        <v>5002</v>
      </c>
      <c r="B800" s="3">
        <v>43950</v>
      </c>
      <c r="C800" s="2" t="s">
        <v>5003</v>
      </c>
      <c r="D800" t="s">
        <v>6163</v>
      </c>
      <c r="E800" s="2">
        <v>3</v>
      </c>
      <c r="F800" s="2" t="str">
        <f>_xlfn.XLOOKUP(orders!C800,customers!$A$2:$A$1001,customers!$B$2:$B$1001)</f>
        <v>Guenevere Ruggen</v>
      </c>
      <c r="G800" s="2" t="str">
        <f>IF(_xlfn.XLOOKUP(C800,customers!$A$2:$A$1001,customers!$C$2:$C$1001,,)=0,"",_xlfn.XLOOKUP(C800,customers!$A$2:$A$1001,customers!$C$2:$C$1001,,))</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cm="1">
        <f t="array" ref="N800">_xlfn.IFS(I800="Rob","Robusta",I800="Exc","Excelsa",I800="Ara","Arabica",I800="Lib","Liberica")</f>
        <v>Robusta</v>
      </c>
      <c r="O800" t="str" cm="1">
        <f t="array" ref="O800">_xlfn.IFS(J800="M","Medium",J800="L","Light",J800="D","Dark")</f>
        <v>Dark</v>
      </c>
      <c r="P800" t="str">
        <f>_xlfn.XLOOKUP(Orders[[#This Row],[Customer ID]],customers!$A$1:$A$1001,customers!$I$1:$I$1001,,0)</f>
        <v>Yes</v>
      </c>
    </row>
    <row r="801" spans="1:16" x14ac:dyDescent="0.25">
      <c r="A801" s="2" t="s">
        <v>5008</v>
      </c>
      <c r="B801" s="3">
        <v>44588</v>
      </c>
      <c r="C801" s="2" t="s">
        <v>5009</v>
      </c>
      <c r="D801" t="s">
        <v>6183</v>
      </c>
      <c r="E801" s="2">
        <v>3</v>
      </c>
      <c r="F801" s="2" t="str">
        <f>_xlfn.XLOOKUP(orders!C801,customers!$A$2:$A$1001,customers!$B$2:$B$1001)</f>
        <v>Gonzales Cicculi</v>
      </c>
      <c r="G801" s="2" t="str">
        <f>IF(_xlfn.XLOOKUP(C801,customers!$A$2:$A$1001,customers!$C$2:$C$1001,,)=0,"",_xlfn.XLOOKUP(C801,customers!$A$2:$A$1001,customers!$C$2:$C$1001,,))</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cm="1">
        <f t="array" ref="N801">_xlfn.IFS(I801="Rob","Robusta",I801="Exc","Excelsa",I801="Ara","Arabica",I801="Lib","Liberica")</f>
        <v>Excelsa</v>
      </c>
      <c r="O801" t="str" cm="1">
        <f t="array" ref="O801">_xlfn.IFS(J801="M","Medium",J801="L","Light",J801="D","Dark")</f>
        <v>Dark</v>
      </c>
      <c r="P801" t="str">
        <f>_xlfn.XLOOKUP(Orders[[#This Row],[Customer ID]],customers!$A$1:$A$1001,customers!$I$1:$I$1001,,0)</f>
        <v>Yes</v>
      </c>
    </row>
    <row r="802" spans="1:16" x14ac:dyDescent="0.25">
      <c r="A802" s="2" t="s">
        <v>5012</v>
      </c>
      <c r="B802" s="3">
        <v>44240</v>
      </c>
      <c r="C802" s="2" t="s">
        <v>5013</v>
      </c>
      <c r="D802" t="s">
        <v>6163</v>
      </c>
      <c r="E802" s="2">
        <v>6</v>
      </c>
      <c r="F802" s="2" t="str">
        <f>_xlfn.XLOOKUP(orders!C802,customers!$A$2:$A$1001,customers!$B$2:$B$1001)</f>
        <v>Man Fright</v>
      </c>
      <c r="G802" s="2" t="str">
        <f>IF(_xlfn.XLOOKUP(C802,customers!$A$2:$A$1001,customers!$C$2:$C$1001,,)=0,"",_xlfn.XLOOKUP(C802,customers!$A$2:$A$1001,customers!$C$2:$C$1001,,))</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cm="1">
        <f t="array" ref="N802">_xlfn.IFS(I802="Rob","Robusta",I802="Exc","Excelsa",I802="Ara","Arabica",I802="Lib","Liberica")</f>
        <v>Robusta</v>
      </c>
      <c r="O802" t="str" cm="1">
        <f t="array" ref="O802">_xlfn.IFS(J802="M","Medium",J802="L","Light",J802="D","Dark")</f>
        <v>Dark</v>
      </c>
      <c r="P802" t="str">
        <f>_xlfn.XLOOKUP(Orders[[#This Row],[Customer ID]],customers!$A$1:$A$1001,customers!$I$1:$I$1001,,0)</f>
        <v>No</v>
      </c>
    </row>
    <row r="803" spans="1:16" x14ac:dyDescent="0.25">
      <c r="A803" s="2" t="s">
        <v>5018</v>
      </c>
      <c r="B803" s="3">
        <v>44025</v>
      </c>
      <c r="C803" s="2" t="s">
        <v>5019</v>
      </c>
      <c r="D803" t="s">
        <v>6149</v>
      </c>
      <c r="E803" s="2">
        <v>2</v>
      </c>
      <c r="F803" s="2" t="str">
        <f>_xlfn.XLOOKUP(orders!C803,customers!$A$2:$A$1001,customers!$B$2:$B$1001)</f>
        <v>Boyce Tarte</v>
      </c>
      <c r="G803" s="2" t="str">
        <f>IF(_xlfn.XLOOKUP(C803,customers!$A$2:$A$1001,customers!$C$2:$C$1001,,)=0,"",_xlfn.XLOOKUP(C803,customers!$A$2:$A$1001,customers!$C$2:$C$1001,,))</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cm="1">
        <f t="array" ref="N803">_xlfn.IFS(I803="Rob","Robusta",I803="Exc","Excelsa",I803="Ara","Arabica",I803="Lib","Liberica")</f>
        <v>Robusta</v>
      </c>
      <c r="O803" t="str" cm="1">
        <f t="array" ref="O803">_xlfn.IFS(J803="M","Medium",J803="L","Light",J803="D","Dark")</f>
        <v>Dark</v>
      </c>
      <c r="P803" t="str">
        <f>_xlfn.XLOOKUP(Orders[[#This Row],[Customer ID]],customers!$A$1:$A$1001,customers!$I$1:$I$1001,,0)</f>
        <v>Yes</v>
      </c>
    </row>
    <row r="804" spans="1:16" x14ac:dyDescent="0.25">
      <c r="A804" s="2" t="s">
        <v>5024</v>
      </c>
      <c r="B804" s="3">
        <v>43902</v>
      </c>
      <c r="C804" s="2" t="s">
        <v>5025</v>
      </c>
      <c r="D804" t="s">
        <v>6163</v>
      </c>
      <c r="E804" s="2">
        <v>4</v>
      </c>
      <c r="F804" s="2" t="str">
        <f>_xlfn.XLOOKUP(orders!C804,customers!$A$2:$A$1001,customers!$B$2:$B$1001)</f>
        <v>Caddric Krzysztofiak</v>
      </c>
      <c r="G804" s="2" t="str">
        <f>IF(_xlfn.XLOOKUP(C804,customers!$A$2:$A$1001,customers!$C$2:$C$1001,,)=0,"",_xlfn.XLOOKUP(C804,customers!$A$2:$A$1001,customers!$C$2:$C$1001,,))</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cm="1">
        <f t="array" ref="N804">_xlfn.IFS(I804="Rob","Robusta",I804="Exc","Excelsa",I804="Ara","Arabica",I804="Lib","Liberica")</f>
        <v>Robusta</v>
      </c>
      <c r="O804" t="str" cm="1">
        <f t="array" ref="O804">_xlfn.IFS(J804="M","Medium",J804="L","Light",J804="D","Dark")</f>
        <v>Dark</v>
      </c>
      <c r="P804" t="str">
        <f>_xlfn.XLOOKUP(Orders[[#This Row],[Customer ID]],customers!$A$1:$A$1001,customers!$I$1:$I$1001,,0)</f>
        <v>No</v>
      </c>
    </row>
    <row r="805" spans="1:16" x14ac:dyDescent="0.25">
      <c r="A805" s="2" t="s">
        <v>5030</v>
      </c>
      <c r="B805" s="3">
        <v>43955</v>
      </c>
      <c r="C805" s="2" t="s">
        <v>5031</v>
      </c>
      <c r="D805" t="s">
        <v>6166</v>
      </c>
      <c r="E805" s="2">
        <v>4</v>
      </c>
      <c r="F805" s="2" t="str">
        <f>_xlfn.XLOOKUP(orders!C805,customers!$A$2:$A$1001,customers!$B$2:$B$1001)</f>
        <v>Darn Penquet</v>
      </c>
      <c r="G805" s="2" t="str">
        <f>IF(_xlfn.XLOOKUP(C805,customers!$A$2:$A$1001,customers!$C$2:$C$1001,,)=0,"",_xlfn.XLOOKUP(C805,customers!$A$2:$A$1001,customers!$C$2:$C$1001,,))</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cm="1">
        <f t="array" ref="N805">_xlfn.IFS(I805="Rob","Robusta",I805="Exc","Excelsa",I805="Ara","Arabica",I805="Lib","Liberica")</f>
        <v>Excelsa</v>
      </c>
      <c r="O805" t="str" cm="1">
        <f t="array" ref="O805">_xlfn.IFS(J805="M","Medium",J805="L","Light",J805="D","Dark")</f>
        <v>Medium</v>
      </c>
      <c r="P805" t="str">
        <f>_xlfn.XLOOKUP(Orders[[#This Row],[Customer ID]],customers!$A$1:$A$1001,customers!$I$1:$I$1001,,0)</f>
        <v>No</v>
      </c>
    </row>
    <row r="806" spans="1:16" x14ac:dyDescent="0.25">
      <c r="A806" s="2" t="s">
        <v>5035</v>
      </c>
      <c r="B806" s="3">
        <v>44289</v>
      </c>
      <c r="C806" s="2" t="s">
        <v>5036</v>
      </c>
      <c r="D806" t="s">
        <v>6179</v>
      </c>
      <c r="E806" s="2">
        <v>2</v>
      </c>
      <c r="F806" s="2" t="str">
        <f>_xlfn.XLOOKUP(orders!C806,customers!$A$2:$A$1001,customers!$B$2:$B$1001)</f>
        <v>Jammie Cloke</v>
      </c>
      <c r="G806" s="2" t="str">
        <f>IF(_xlfn.XLOOKUP(C806,customers!$A$2:$A$1001,customers!$C$2:$C$1001,,)=0,"",_xlfn.XLOOKUP(C806,customers!$A$2:$A$1001,customers!$C$2:$C$1001,,))</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cm="1">
        <f t="array" ref="N806">_xlfn.IFS(I806="Rob","Robusta",I806="Exc","Excelsa",I806="Ara","Arabica",I806="Lib","Liberica")</f>
        <v>Robusta</v>
      </c>
      <c r="O806" t="str" cm="1">
        <f t="array" ref="O806">_xlfn.IFS(J806="M","Medium",J806="L","Light",J806="D","Dark")</f>
        <v>Light</v>
      </c>
      <c r="P806" t="str">
        <f>_xlfn.XLOOKUP(Orders[[#This Row],[Customer ID]],customers!$A$1:$A$1001,customers!$I$1:$I$1001,,0)</f>
        <v>No</v>
      </c>
    </row>
    <row r="807" spans="1:16" x14ac:dyDescent="0.25">
      <c r="A807" s="2" t="s">
        <v>5040</v>
      </c>
      <c r="B807" s="3">
        <v>44713</v>
      </c>
      <c r="C807" s="2" t="s">
        <v>5041</v>
      </c>
      <c r="D807" t="s">
        <v>6146</v>
      </c>
      <c r="E807" s="2">
        <v>1</v>
      </c>
      <c r="F807" s="2" t="str">
        <f>_xlfn.XLOOKUP(orders!C807,customers!$A$2:$A$1001,customers!$B$2:$B$1001)</f>
        <v>Chester Clowton</v>
      </c>
      <c r="G807" s="2" t="str">
        <f>IF(_xlfn.XLOOKUP(C807,customers!$A$2:$A$1001,customers!$C$2:$C$1001,,)=0,"",_xlfn.XLOOKUP(C807,customers!$A$2:$A$1001,customers!$C$2:$C$1001,,))</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cm="1">
        <f t="array" ref="N807">_xlfn.IFS(I807="Rob","Robusta",I807="Exc","Excelsa",I807="Ara","Arabica",I807="Lib","Liberica")</f>
        <v>Robusta</v>
      </c>
      <c r="O807" t="str" cm="1">
        <f t="array" ref="O807">_xlfn.IFS(J807="M","Medium",J807="L","Light",J807="D","Dark")</f>
        <v>Medium</v>
      </c>
      <c r="P807" t="str">
        <f>_xlfn.XLOOKUP(Orders[[#This Row],[Customer ID]],customers!$A$1:$A$1001,customers!$I$1:$I$1001,,0)</f>
        <v>No</v>
      </c>
    </row>
    <row r="808" spans="1:16" x14ac:dyDescent="0.25">
      <c r="A808" s="2" t="s">
        <v>5046</v>
      </c>
      <c r="B808" s="3">
        <v>44241</v>
      </c>
      <c r="C808" s="2" t="s">
        <v>5047</v>
      </c>
      <c r="D808" t="s">
        <v>6150</v>
      </c>
      <c r="E808" s="2">
        <v>2</v>
      </c>
      <c r="F808" s="2" t="str">
        <f>_xlfn.XLOOKUP(orders!C808,customers!$A$2:$A$1001,customers!$B$2:$B$1001)</f>
        <v>Kathleen Diable</v>
      </c>
      <c r="G808" s="2" t="str">
        <f>IF(_xlfn.XLOOKUP(C808,customers!$A$2:$A$1001,customers!$C$2:$C$1001,,)=0,"",_xlfn.XLOOKUP(C808,customers!$A$2:$A$1001,customers!$C$2:$C$1001,,))</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cm="1">
        <f t="array" ref="N808">_xlfn.IFS(I808="Rob","Robusta",I808="Exc","Excelsa",I808="Ara","Arabica",I808="Lib","Liberica")</f>
        <v>Liberica</v>
      </c>
      <c r="O808" t="str" cm="1">
        <f t="array" ref="O808">_xlfn.IFS(J808="M","Medium",J808="L","Light",J808="D","Dark")</f>
        <v>Dark</v>
      </c>
      <c r="P808" t="str">
        <f>_xlfn.XLOOKUP(Orders[[#This Row],[Customer ID]],customers!$A$1:$A$1001,customers!$I$1:$I$1001,,0)</f>
        <v>Yes</v>
      </c>
    </row>
    <row r="809" spans="1:16" x14ac:dyDescent="0.25">
      <c r="A809" s="2" t="s">
        <v>5050</v>
      </c>
      <c r="B809" s="3">
        <v>44543</v>
      </c>
      <c r="C809" s="2" t="s">
        <v>5051</v>
      </c>
      <c r="D809" t="s">
        <v>6169</v>
      </c>
      <c r="E809" s="2">
        <v>3</v>
      </c>
      <c r="F809" s="2" t="str">
        <f>_xlfn.XLOOKUP(orders!C809,customers!$A$2:$A$1001,customers!$B$2:$B$1001)</f>
        <v>Koren Ferretti</v>
      </c>
      <c r="G809" s="2" t="str">
        <f>IF(_xlfn.XLOOKUP(C809,customers!$A$2:$A$1001,customers!$C$2:$C$1001,,)=0,"",_xlfn.XLOOKUP(C809,customers!$A$2:$A$1001,customers!$C$2:$C$1001,,))</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cm="1">
        <f t="array" ref="N809">_xlfn.IFS(I809="Rob","Robusta",I809="Exc","Excelsa",I809="Ara","Arabica",I809="Lib","Liberica")</f>
        <v>Liberica</v>
      </c>
      <c r="O809" t="str" cm="1">
        <f t="array" ref="O809">_xlfn.IFS(J809="M","Medium",J809="L","Light",J809="D","Dark")</f>
        <v>Dark</v>
      </c>
      <c r="P809" t="str">
        <f>_xlfn.XLOOKUP(Orders[[#This Row],[Customer ID]],customers!$A$1:$A$1001,customers!$I$1:$I$1001,,0)</f>
        <v>No</v>
      </c>
    </row>
    <row r="810" spans="1:16" x14ac:dyDescent="0.25">
      <c r="A810" s="2" t="s">
        <v>5056</v>
      </c>
      <c r="B810" s="3">
        <v>43868</v>
      </c>
      <c r="C810" s="2" t="s">
        <v>5113</v>
      </c>
      <c r="D810" t="s">
        <v>6142</v>
      </c>
      <c r="E810" s="2">
        <v>5</v>
      </c>
      <c r="F810" s="2" t="str">
        <f>_xlfn.XLOOKUP(orders!C810,customers!$A$2:$A$1001,customers!$B$2:$B$1001)</f>
        <v>Allis Wilmore</v>
      </c>
      <c r="G810" s="2" t="str">
        <f>IF(_xlfn.XLOOKUP(C810,customers!$A$2:$A$1001,customers!$C$2:$C$1001,,)=0,"",_xlfn.XLOOKUP(C810,customers!$A$2:$A$1001,customers!$C$2:$C$1001,,))</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cm="1">
        <f t="array" ref="N810">_xlfn.IFS(I810="Rob","Robusta",I810="Exc","Excelsa",I810="Ara","Arabica",I810="Lib","Liberica")</f>
        <v>Robusta</v>
      </c>
      <c r="O810" t="str" cm="1">
        <f t="array" ref="O810">_xlfn.IFS(J810="M","Medium",J810="L","Light",J810="D","Dark")</f>
        <v>Light</v>
      </c>
      <c r="P810" t="str">
        <f>_xlfn.XLOOKUP(Orders[[#This Row],[Customer ID]],customers!$A$1:$A$1001,customers!$I$1:$I$1001,,0)</f>
        <v>No</v>
      </c>
    </row>
    <row r="811" spans="1:16" x14ac:dyDescent="0.25">
      <c r="A811" s="2" t="s">
        <v>5062</v>
      </c>
      <c r="B811" s="3">
        <v>44235</v>
      </c>
      <c r="C811" s="2" t="s">
        <v>5063</v>
      </c>
      <c r="D811" t="s">
        <v>6163</v>
      </c>
      <c r="E811" s="2">
        <v>3</v>
      </c>
      <c r="F811" s="2" t="str">
        <f>_xlfn.XLOOKUP(orders!C811,customers!$A$2:$A$1001,customers!$B$2:$B$1001)</f>
        <v>Chaddie Bennie</v>
      </c>
      <c r="G811" s="2" t="str">
        <f>IF(_xlfn.XLOOKUP(C811,customers!$A$2:$A$1001,customers!$C$2:$C$1001,,)=0,"",_xlfn.XLOOKUP(C811,customers!$A$2:$A$1001,customers!$C$2:$C$1001,,))</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cm="1">
        <f t="array" ref="N811">_xlfn.IFS(I811="Rob","Robusta",I811="Exc","Excelsa",I811="Ara","Arabica",I811="Lib","Liberica")</f>
        <v>Robusta</v>
      </c>
      <c r="O811" t="str" cm="1">
        <f t="array" ref="O811">_xlfn.IFS(J811="M","Medium",J811="L","Light",J811="D","Dark")</f>
        <v>Dark</v>
      </c>
      <c r="P811" t="str">
        <f>_xlfn.XLOOKUP(Orders[[#This Row],[Customer ID]],customers!$A$1:$A$1001,customers!$I$1:$I$1001,,0)</f>
        <v>Yes</v>
      </c>
    </row>
    <row r="812" spans="1:16" x14ac:dyDescent="0.25">
      <c r="A812" s="2" t="s">
        <v>5067</v>
      </c>
      <c r="B812" s="3">
        <v>44054</v>
      </c>
      <c r="C812" s="2" t="s">
        <v>5068</v>
      </c>
      <c r="D812" t="s">
        <v>6161</v>
      </c>
      <c r="E812" s="2">
        <v>3</v>
      </c>
      <c r="F812" s="2" t="str">
        <f>_xlfn.XLOOKUP(orders!C812,customers!$A$2:$A$1001,customers!$B$2:$B$1001)</f>
        <v>Alberta Balsdone</v>
      </c>
      <c r="G812" s="2" t="str">
        <f>IF(_xlfn.XLOOKUP(C812,customers!$A$2:$A$1001,customers!$C$2:$C$1001,,)=0,"",_xlfn.XLOOKUP(C812,customers!$A$2:$A$1001,customers!$C$2:$C$1001,,))</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cm="1">
        <f t="array" ref="N812">_xlfn.IFS(I812="Rob","Robusta",I812="Exc","Excelsa",I812="Ara","Arabica",I812="Lib","Liberica")</f>
        <v>Liberica</v>
      </c>
      <c r="O812" t="str" cm="1">
        <f t="array" ref="O812">_xlfn.IFS(J812="M","Medium",J812="L","Light",J812="D","Dark")</f>
        <v>Light</v>
      </c>
      <c r="P812" t="str">
        <f>_xlfn.XLOOKUP(Orders[[#This Row],[Customer ID]],customers!$A$1:$A$1001,customers!$I$1:$I$1001,,0)</f>
        <v>No</v>
      </c>
    </row>
    <row r="813" spans="1:16" x14ac:dyDescent="0.25">
      <c r="A813" s="2" t="s">
        <v>5073</v>
      </c>
      <c r="B813" s="3">
        <v>44114</v>
      </c>
      <c r="C813" s="2" t="s">
        <v>5074</v>
      </c>
      <c r="D813" t="s">
        <v>6155</v>
      </c>
      <c r="E813" s="2">
        <v>6</v>
      </c>
      <c r="F813" s="2" t="str">
        <f>_xlfn.XLOOKUP(orders!C813,customers!$A$2:$A$1001,customers!$B$2:$B$1001)</f>
        <v>Brice Romera</v>
      </c>
      <c r="G813" s="2" t="str">
        <f>IF(_xlfn.XLOOKUP(C813,customers!$A$2:$A$1001,customers!$C$2:$C$1001,,)=0,"",_xlfn.XLOOKUP(C813,customers!$A$2:$A$1001,customers!$C$2:$C$1001,,))</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cm="1">
        <f t="array" ref="N813">_xlfn.IFS(I813="Rob","Robusta",I813="Exc","Excelsa",I813="Ara","Arabica",I813="Lib","Liberica")</f>
        <v>Arabica</v>
      </c>
      <c r="O813" t="str" cm="1">
        <f t="array" ref="O813">_xlfn.IFS(J813="M","Medium",J813="L","Light",J813="D","Dark")</f>
        <v>Medium</v>
      </c>
      <c r="P813" t="str">
        <f>_xlfn.XLOOKUP(Orders[[#This Row],[Customer ID]],customers!$A$1:$A$1001,customers!$I$1:$I$1001,,0)</f>
        <v>Yes</v>
      </c>
    </row>
    <row r="814" spans="1:16" x14ac:dyDescent="0.25">
      <c r="A814" s="2" t="s">
        <v>5073</v>
      </c>
      <c r="B814" s="3">
        <v>44114</v>
      </c>
      <c r="C814" s="2" t="s">
        <v>5074</v>
      </c>
      <c r="D814" t="s">
        <v>6165</v>
      </c>
      <c r="E814" s="2">
        <v>6</v>
      </c>
      <c r="F814" s="2" t="str">
        <f>_xlfn.XLOOKUP(orders!C814,customers!$A$2:$A$1001,customers!$B$2:$B$1001)</f>
        <v>Brice Romera</v>
      </c>
      <c r="G814" s="2" t="str">
        <f>IF(_xlfn.XLOOKUP(C814,customers!$A$2:$A$1001,customers!$C$2:$C$1001,,)=0,"",_xlfn.XLOOKUP(C814,customers!$A$2:$A$1001,customers!$C$2:$C$1001,,))</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cm="1">
        <f t="array" ref="N814">_xlfn.IFS(I814="Rob","Robusta",I814="Exc","Excelsa",I814="Ara","Arabica",I814="Lib","Liberica")</f>
        <v>Liberica</v>
      </c>
      <c r="O814" t="str" cm="1">
        <f t="array" ref="O814">_xlfn.IFS(J814="M","Medium",J814="L","Light",J814="D","Dark")</f>
        <v>Dark</v>
      </c>
      <c r="P814" t="str">
        <f>_xlfn.XLOOKUP(Orders[[#This Row],[Customer ID]],customers!$A$1:$A$1001,customers!$I$1:$I$1001,,0)</f>
        <v>Yes</v>
      </c>
    </row>
    <row r="815" spans="1:16" x14ac:dyDescent="0.25">
      <c r="A815" s="2" t="s">
        <v>5084</v>
      </c>
      <c r="B815" s="3">
        <v>44173</v>
      </c>
      <c r="C815" s="2" t="s">
        <v>5085</v>
      </c>
      <c r="D815" t="s">
        <v>6166</v>
      </c>
      <c r="E815" s="2">
        <v>1</v>
      </c>
      <c r="F815" s="2" t="str">
        <f>_xlfn.XLOOKUP(orders!C815,customers!$A$2:$A$1001,customers!$B$2:$B$1001)</f>
        <v>Conchita Bryde</v>
      </c>
      <c r="G815" s="2" t="str">
        <f>IF(_xlfn.XLOOKUP(C815,customers!$A$2:$A$1001,customers!$C$2:$C$1001,,)=0,"",_xlfn.XLOOKUP(C815,customers!$A$2:$A$1001,customers!$C$2:$C$1001,,))</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cm="1">
        <f t="array" ref="N815">_xlfn.IFS(I815="Rob","Robusta",I815="Exc","Excelsa",I815="Ara","Arabica",I815="Lib","Liberica")</f>
        <v>Excelsa</v>
      </c>
      <c r="O815" t="str" cm="1">
        <f t="array" ref="O815">_xlfn.IFS(J815="M","Medium",J815="L","Light",J815="D","Dark")</f>
        <v>Medium</v>
      </c>
      <c r="P815" t="str">
        <f>_xlfn.XLOOKUP(Orders[[#This Row],[Customer ID]],customers!$A$1:$A$1001,customers!$I$1:$I$1001,,0)</f>
        <v>Yes</v>
      </c>
    </row>
    <row r="816" spans="1:16" x14ac:dyDescent="0.25">
      <c r="A816" s="2" t="s">
        <v>5090</v>
      </c>
      <c r="B816" s="3">
        <v>43573</v>
      </c>
      <c r="C816" s="2" t="s">
        <v>5091</v>
      </c>
      <c r="D816" t="s">
        <v>6184</v>
      </c>
      <c r="E816" s="2">
        <v>2</v>
      </c>
      <c r="F816" s="2" t="str">
        <f>_xlfn.XLOOKUP(orders!C816,customers!$A$2:$A$1001,customers!$B$2:$B$1001)</f>
        <v>Silvanus Enefer</v>
      </c>
      <c r="G816" s="2" t="str">
        <f>IF(_xlfn.XLOOKUP(C816,customers!$A$2:$A$1001,customers!$C$2:$C$1001,,)=0,"",_xlfn.XLOOKUP(C816,customers!$A$2:$A$1001,customers!$C$2:$C$1001,,))</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cm="1">
        <f t="array" ref="N816">_xlfn.IFS(I816="Rob","Robusta",I816="Exc","Excelsa",I816="Ara","Arabica",I816="Lib","Liberica")</f>
        <v>Excelsa</v>
      </c>
      <c r="O816" t="str" cm="1">
        <f t="array" ref="O816">_xlfn.IFS(J816="M","Medium",J816="L","Light",J816="D","Dark")</f>
        <v>Light</v>
      </c>
      <c r="P816" t="str">
        <f>_xlfn.XLOOKUP(Orders[[#This Row],[Customer ID]],customers!$A$1:$A$1001,customers!$I$1:$I$1001,,0)</f>
        <v>No</v>
      </c>
    </row>
    <row r="817" spans="1:16" x14ac:dyDescent="0.25">
      <c r="A817" s="2" t="s">
        <v>5096</v>
      </c>
      <c r="B817" s="3">
        <v>44200</v>
      </c>
      <c r="C817" s="2" t="s">
        <v>5097</v>
      </c>
      <c r="D817" t="s">
        <v>6146</v>
      </c>
      <c r="E817" s="2">
        <v>6</v>
      </c>
      <c r="F817" s="2" t="str">
        <f>_xlfn.XLOOKUP(orders!C817,customers!$A$2:$A$1001,customers!$B$2:$B$1001)</f>
        <v>Lenci Haggerstone</v>
      </c>
      <c r="G817" s="2" t="str">
        <f>IF(_xlfn.XLOOKUP(C817,customers!$A$2:$A$1001,customers!$C$2:$C$1001,,)=0,"",_xlfn.XLOOKUP(C817,customers!$A$2:$A$1001,customers!$C$2:$C$1001,,))</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cm="1">
        <f t="array" ref="N817">_xlfn.IFS(I817="Rob","Robusta",I817="Exc","Excelsa",I817="Ara","Arabica",I817="Lib","Liberica")</f>
        <v>Robusta</v>
      </c>
      <c r="O817" t="str" cm="1">
        <f t="array" ref="O817">_xlfn.IFS(J817="M","Medium",J817="L","Light",J817="D","Dark")</f>
        <v>Medium</v>
      </c>
      <c r="P817" t="str">
        <f>_xlfn.XLOOKUP(Orders[[#This Row],[Customer ID]],customers!$A$1:$A$1001,customers!$I$1:$I$1001,,0)</f>
        <v>No</v>
      </c>
    </row>
    <row r="818" spans="1:16" x14ac:dyDescent="0.25">
      <c r="A818" s="2" t="s">
        <v>5102</v>
      </c>
      <c r="B818" s="3">
        <v>43534</v>
      </c>
      <c r="C818" s="2" t="s">
        <v>5103</v>
      </c>
      <c r="D818" t="s">
        <v>6161</v>
      </c>
      <c r="E818" s="2">
        <v>4</v>
      </c>
      <c r="F818" s="2" t="str">
        <f>_xlfn.XLOOKUP(orders!C818,customers!$A$2:$A$1001,customers!$B$2:$B$1001)</f>
        <v>Marvin Gundry</v>
      </c>
      <c r="G818" s="2" t="str">
        <f>IF(_xlfn.XLOOKUP(C818,customers!$A$2:$A$1001,customers!$C$2:$C$1001,,)=0,"",_xlfn.XLOOKUP(C818,customers!$A$2:$A$1001,customers!$C$2:$C$1001,,))</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cm="1">
        <f t="array" ref="N818">_xlfn.IFS(I818="Rob","Robusta",I818="Exc","Excelsa",I818="Ara","Arabica",I818="Lib","Liberica")</f>
        <v>Liberica</v>
      </c>
      <c r="O818" t="str" cm="1">
        <f t="array" ref="O818">_xlfn.IFS(J818="M","Medium",J818="L","Light",J818="D","Dark")</f>
        <v>Light</v>
      </c>
      <c r="P818" t="str">
        <f>_xlfn.XLOOKUP(Orders[[#This Row],[Customer ID]],customers!$A$1:$A$1001,customers!$I$1:$I$1001,,0)</f>
        <v>No</v>
      </c>
    </row>
    <row r="819" spans="1:16" x14ac:dyDescent="0.25">
      <c r="A819" s="2" t="s">
        <v>5107</v>
      </c>
      <c r="B819" s="3">
        <v>43798</v>
      </c>
      <c r="C819" s="2" t="s">
        <v>5108</v>
      </c>
      <c r="D819" t="s">
        <v>6169</v>
      </c>
      <c r="E819" s="2">
        <v>2</v>
      </c>
      <c r="F819" s="2" t="str">
        <f>_xlfn.XLOOKUP(orders!C819,customers!$A$2:$A$1001,customers!$B$2:$B$1001)</f>
        <v>Bayard Wellan</v>
      </c>
      <c r="G819" s="2" t="str">
        <f>IF(_xlfn.XLOOKUP(C819,customers!$A$2:$A$1001,customers!$C$2:$C$1001,,)=0,"",_xlfn.XLOOKUP(C819,customers!$A$2:$A$1001,customers!$C$2:$C$1001,,))</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cm="1">
        <f t="array" ref="N819">_xlfn.IFS(I819="Rob","Robusta",I819="Exc","Excelsa",I819="Ara","Arabica",I819="Lib","Liberica")</f>
        <v>Liberica</v>
      </c>
      <c r="O819" t="str" cm="1">
        <f t="array" ref="O819">_xlfn.IFS(J819="M","Medium",J819="L","Light",J819="D","Dark")</f>
        <v>Dark</v>
      </c>
      <c r="P819" t="str">
        <f>_xlfn.XLOOKUP(Orders[[#This Row],[Customer ID]],customers!$A$1:$A$1001,customers!$I$1:$I$1001,,0)</f>
        <v>No</v>
      </c>
    </row>
    <row r="820" spans="1:16" x14ac:dyDescent="0.25">
      <c r="A820" s="2" t="s">
        <v>5112</v>
      </c>
      <c r="B820" s="3">
        <v>44761</v>
      </c>
      <c r="C820" s="2" t="s">
        <v>5113</v>
      </c>
      <c r="D820" t="s">
        <v>6170</v>
      </c>
      <c r="E820" s="2">
        <v>5</v>
      </c>
      <c r="F820" s="2" t="str">
        <f>_xlfn.XLOOKUP(orders!C820,customers!$A$2:$A$1001,customers!$B$2:$B$1001)</f>
        <v>Allis Wilmore</v>
      </c>
      <c r="G820" s="2" t="str">
        <f>IF(_xlfn.XLOOKUP(C820,customers!$A$2:$A$1001,customers!$C$2:$C$1001,,)=0,"",_xlfn.XLOOKUP(C820,customers!$A$2:$A$1001,customers!$C$2:$C$1001,,))</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cm="1">
        <f t="array" ref="N820">_xlfn.IFS(I820="Rob","Robusta",I820="Exc","Excelsa",I820="Ara","Arabica",I820="Lib","Liberica")</f>
        <v>Liberica</v>
      </c>
      <c r="O820" t="str" cm="1">
        <f t="array" ref="O820">_xlfn.IFS(J820="M","Medium",J820="L","Light",J820="D","Dark")</f>
        <v>Light</v>
      </c>
      <c r="P820" t="str">
        <f>_xlfn.XLOOKUP(Orders[[#This Row],[Customer ID]],customers!$A$1:$A$1001,customers!$I$1:$I$1001,,0)</f>
        <v>No</v>
      </c>
    </row>
    <row r="821" spans="1:16" x14ac:dyDescent="0.25">
      <c r="A821" s="2" t="s">
        <v>5117</v>
      </c>
      <c r="B821" s="3">
        <v>44008</v>
      </c>
      <c r="C821" s="2" t="s">
        <v>5118</v>
      </c>
      <c r="D821" t="s">
        <v>6145</v>
      </c>
      <c r="E821" s="2">
        <v>1</v>
      </c>
      <c r="F821" s="2" t="str">
        <f>_xlfn.XLOOKUP(orders!C821,customers!$A$2:$A$1001,customers!$B$2:$B$1001)</f>
        <v>Caddric Atcheson</v>
      </c>
      <c r="G821" s="2" t="str">
        <f>IF(_xlfn.XLOOKUP(C821,customers!$A$2:$A$1001,customers!$C$2:$C$1001,,)=0,"",_xlfn.XLOOKUP(C821,customers!$A$2:$A$1001,customers!$C$2:$C$1001,,))</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cm="1">
        <f t="array" ref="N821">_xlfn.IFS(I821="Rob","Robusta",I821="Exc","Excelsa",I821="Ara","Arabica",I821="Lib","Liberica")</f>
        <v>Liberica</v>
      </c>
      <c r="O821" t="str" cm="1">
        <f t="array" ref="O821">_xlfn.IFS(J821="M","Medium",J821="L","Light",J821="D","Dark")</f>
        <v>Light</v>
      </c>
      <c r="P821" t="str">
        <f>_xlfn.XLOOKUP(Orders[[#This Row],[Customer ID]],customers!$A$1:$A$1001,customers!$I$1:$I$1001,,0)</f>
        <v>Yes</v>
      </c>
    </row>
    <row r="822" spans="1:16" x14ac:dyDescent="0.25">
      <c r="A822" s="2" t="s">
        <v>5123</v>
      </c>
      <c r="B822" s="3">
        <v>43510</v>
      </c>
      <c r="C822" s="2" t="s">
        <v>5124</v>
      </c>
      <c r="D822" t="s">
        <v>6141</v>
      </c>
      <c r="E822" s="2">
        <v>4</v>
      </c>
      <c r="F822" s="2" t="str">
        <f>_xlfn.XLOOKUP(orders!C822,customers!$A$2:$A$1001,customers!$B$2:$B$1001)</f>
        <v>Eustace Stenton</v>
      </c>
      <c r="G822" s="2" t="str">
        <f>IF(_xlfn.XLOOKUP(C822,customers!$A$2:$A$1001,customers!$C$2:$C$1001,,)=0,"",_xlfn.XLOOKUP(C822,customers!$A$2:$A$1001,customers!$C$2:$C$1001,,))</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cm="1">
        <f t="array" ref="N822">_xlfn.IFS(I822="Rob","Robusta",I822="Exc","Excelsa",I822="Ara","Arabica",I822="Lib","Liberica")</f>
        <v>Excelsa</v>
      </c>
      <c r="O822" t="str" cm="1">
        <f t="array" ref="O822">_xlfn.IFS(J822="M","Medium",J822="L","Light",J822="D","Dark")</f>
        <v>Medium</v>
      </c>
      <c r="P822" t="str">
        <f>_xlfn.XLOOKUP(Orders[[#This Row],[Customer ID]],customers!$A$1:$A$1001,customers!$I$1:$I$1001,,0)</f>
        <v>Yes</v>
      </c>
    </row>
    <row r="823" spans="1:16" x14ac:dyDescent="0.25">
      <c r="A823" s="2" t="s">
        <v>5129</v>
      </c>
      <c r="B823" s="3">
        <v>44144</v>
      </c>
      <c r="C823" s="2" t="s">
        <v>5130</v>
      </c>
      <c r="D823" t="s">
        <v>6172</v>
      </c>
      <c r="E823" s="2">
        <v>5</v>
      </c>
      <c r="F823" s="2" t="str">
        <f>_xlfn.XLOOKUP(orders!C823,customers!$A$2:$A$1001,customers!$B$2:$B$1001)</f>
        <v>Ericka Tripp</v>
      </c>
      <c r="G823" s="2" t="str">
        <f>IF(_xlfn.XLOOKUP(C823,customers!$A$2:$A$1001,customers!$C$2:$C$1001,,)=0,"",_xlfn.XLOOKUP(C823,customers!$A$2:$A$1001,customers!$C$2:$C$1001,,))</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cm="1">
        <f t="array" ref="N823">_xlfn.IFS(I823="Rob","Robusta",I823="Exc","Excelsa",I823="Ara","Arabica",I823="Lib","Liberica")</f>
        <v>Robusta</v>
      </c>
      <c r="O823" t="str" cm="1">
        <f t="array" ref="O823">_xlfn.IFS(J823="M","Medium",J823="L","Light",J823="D","Dark")</f>
        <v>Dark</v>
      </c>
      <c r="P823" t="str">
        <f>_xlfn.XLOOKUP(Orders[[#This Row],[Customer ID]],customers!$A$1:$A$1001,customers!$I$1:$I$1001,,0)</f>
        <v>No</v>
      </c>
    </row>
    <row r="824" spans="1:16" x14ac:dyDescent="0.25">
      <c r="A824" s="2" t="s">
        <v>5135</v>
      </c>
      <c r="B824" s="3">
        <v>43585</v>
      </c>
      <c r="C824" s="2" t="s">
        <v>5136</v>
      </c>
      <c r="D824" t="s">
        <v>6148</v>
      </c>
      <c r="E824" s="2">
        <v>4</v>
      </c>
      <c r="F824" s="2" t="str">
        <f>_xlfn.XLOOKUP(orders!C824,customers!$A$2:$A$1001,customers!$B$2:$B$1001)</f>
        <v>Lyndsey MacManus</v>
      </c>
      <c r="G824" s="2" t="str">
        <f>IF(_xlfn.XLOOKUP(C824,customers!$A$2:$A$1001,customers!$C$2:$C$1001,,)=0,"",_xlfn.XLOOKUP(C824,customers!$A$2:$A$1001,customers!$C$2:$C$1001,,))</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cm="1">
        <f t="array" ref="N824">_xlfn.IFS(I824="Rob","Robusta",I824="Exc","Excelsa",I824="Ara","Arabica",I824="Lib","Liberica")</f>
        <v>Excelsa</v>
      </c>
      <c r="O824" t="str" cm="1">
        <f t="array" ref="O824">_xlfn.IFS(J824="M","Medium",J824="L","Light",J824="D","Dark")</f>
        <v>Light</v>
      </c>
      <c r="P824" t="str">
        <f>_xlfn.XLOOKUP(Orders[[#This Row],[Customer ID]],customers!$A$1:$A$1001,customers!$I$1:$I$1001,,0)</f>
        <v>No</v>
      </c>
    </row>
    <row r="825" spans="1:16" x14ac:dyDescent="0.25">
      <c r="A825" s="2" t="s">
        <v>5141</v>
      </c>
      <c r="B825" s="3">
        <v>44134</v>
      </c>
      <c r="C825" s="2" t="s">
        <v>5142</v>
      </c>
      <c r="D825" t="s">
        <v>6170</v>
      </c>
      <c r="E825" s="2">
        <v>3</v>
      </c>
      <c r="F825" s="2" t="str">
        <f>_xlfn.XLOOKUP(orders!C825,customers!$A$2:$A$1001,customers!$B$2:$B$1001)</f>
        <v>Tess Benediktovich</v>
      </c>
      <c r="G825" s="2" t="str">
        <f>IF(_xlfn.XLOOKUP(C825,customers!$A$2:$A$1001,customers!$C$2:$C$1001,,)=0,"",_xlfn.XLOOKUP(C825,customers!$A$2:$A$1001,customers!$C$2:$C$1001,,))</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cm="1">
        <f t="array" ref="N825">_xlfn.IFS(I825="Rob","Robusta",I825="Exc","Excelsa",I825="Ara","Arabica",I825="Lib","Liberica")</f>
        <v>Liberica</v>
      </c>
      <c r="O825" t="str" cm="1">
        <f t="array" ref="O825">_xlfn.IFS(J825="M","Medium",J825="L","Light",J825="D","Dark")</f>
        <v>Light</v>
      </c>
      <c r="P825" t="str">
        <f>_xlfn.XLOOKUP(Orders[[#This Row],[Customer ID]],customers!$A$1:$A$1001,customers!$I$1:$I$1001,,0)</f>
        <v>Yes</v>
      </c>
    </row>
    <row r="826" spans="1:16" x14ac:dyDescent="0.25">
      <c r="A826" s="2" t="s">
        <v>5147</v>
      </c>
      <c r="B826" s="3">
        <v>43781</v>
      </c>
      <c r="C826" s="2" t="s">
        <v>5148</v>
      </c>
      <c r="D826" t="s">
        <v>6152</v>
      </c>
      <c r="E826" s="2">
        <v>5</v>
      </c>
      <c r="F826" s="2" t="str">
        <f>_xlfn.XLOOKUP(orders!C826,customers!$A$2:$A$1001,customers!$B$2:$B$1001)</f>
        <v>Correy Bourner</v>
      </c>
      <c r="G826" s="2" t="str">
        <f>IF(_xlfn.XLOOKUP(C826,customers!$A$2:$A$1001,customers!$C$2:$C$1001,,)=0,"",_xlfn.XLOOKUP(C826,customers!$A$2:$A$1001,customers!$C$2:$C$1001,,))</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cm="1">
        <f t="array" ref="N826">_xlfn.IFS(I826="Rob","Robusta",I826="Exc","Excelsa",I826="Ara","Arabica",I826="Lib","Liberica")</f>
        <v>Arabica</v>
      </c>
      <c r="O826" t="str" cm="1">
        <f t="array" ref="O826">_xlfn.IFS(J826="M","Medium",J826="L","Light",J826="D","Dark")</f>
        <v>Medium</v>
      </c>
      <c r="P826" t="str">
        <f>_xlfn.XLOOKUP(Orders[[#This Row],[Customer ID]],customers!$A$1:$A$1001,customers!$I$1:$I$1001,,0)</f>
        <v>Yes</v>
      </c>
    </row>
    <row r="827" spans="1:16" x14ac:dyDescent="0.25">
      <c r="A827" s="2" t="s">
        <v>5152</v>
      </c>
      <c r="B827" s="3">
        <v>44603</v>
      </c>
      <c r="C827" s="2" t="s">
        <v>5188</v>
      </c>
      <c r="D827" t="s">
        <v>6147</v>
      </c>
      <c r="E827" s="2">
        <v>3</v>
      </c>
      <c r="F827" s="2" t="str">
        <f>_xlfn.XLOOKUP(orders!C827,customers!$A$2:$A$1001,customers!$B$2:$B$1001)</f>
        <v>Odelia Skerme</v>
      </c>
      <c r="G827" s="2" t="str">
        <f>IF(_xlfn.XLOOKUP(C827,customers!$A$2:$A$1001,customers!$C$2:$C$1001,,)=0,"",_xlfn.XLOOKUP(C827,customers!$A$2:$A$1001,customers!$C$2:$C$1001,,))</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cm="1">
        <f t="array" ref="N827">_xlfn.IFS(I827="Rob","Robusta",I827="Exc","Excelsa",I827="Ara","Arabica",I827="Lib","Liberica")</f>
        <v>Arabica</v>
      </c>
      <c r="O827" t="str" cm="1">
        <f t="array" ref="O827">_xlfn.IFS(J827="M","Medium",J827="L","Light",J827="D","Dark")</f>
        <v>Dark</v>
      </c>
      <c r="P827" t="str">
        <f>_xlfn.XLOOKUP(Orders[[#This Row],[Customer ID]],customers!$A$1:$A$1001,customers!$I$1:$I$1001,,0)</f>
        <v>Yes</v>
      </c>
    </row>
    <row r="828" spans="1:16" x14ac:dyDescent="0.25">
      <c r="A828" s="2" t="s">
        <v>5158</v>
      </c>
      <c r="B828" s="3">
        <v>44283</v>
      </c>
      <c r="C828" s="2" t="s">
        <v>5159</v>
      </c>
      <c r="D828" t="s">
        <v>6139</v>
      </c>
      <c r="E828" s="2">
        <v>5</v>
      </c>
      <c r="F828" s="2" t="str">
        <f>_xlfn.XLOOKUP(orders!C828,customers!$A$2:$A$1001,customers!$B$2:$B$1001)</f>
        <v>Kandy Heddan</v>
      </c>
      <c r="G828" s="2" t="str">
        <f>IF(_xlfn.XLOOKUP(C828,customers!$A$2:$A$1001,customers!$C$2:$C$1001,,)=0,"",_xlfn.XLOOKUP(C828,customers!$A$2:$A$1001,customers!$C$2:$C$1001,,))</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cm="1">
        <f t="array" ref="N828">_xlfn.IFS(I828="Rob","Robusta",I828="Exc","Excelsa",I828="Ara","Arabica",I828="Lib","Liberica")</f>
        <v>Excelsa</v>
      </c>
      <c r="O828" t="str" cm="1">
        <f t="array" ref="O828">_xlfn.IFS(J828="M","Medium",J828="L","Light",J828="D","Dark")</f>
        <v>Medium</v>
      </c>
      <c r="P828" t="str">
        <f>_xlfn.XLOOKUP(Orders[[#This Row],[Customer ID]],customers!$A$1:$A$1001,customers!$I$1:$I$1001,,0)</f>
        <v>Yes</v>
      </c>
    </row>
    <row r="829" spans="1:16" x14ac:dyDescent="0.25">
      <c r="A829" s="2" t="s">
        <v>5164</v>
      </c>
      <c r="B829" s="3">
        <v>44540</v>
      </c>
      <c r="C829" s="2" t="s">
        <v>5165</v>
      </c>
      <c r="D829" t="s">
        <v>6156</v>
      </c>
      <c r="E829" s="2">
        <v>5</v>
      </c>
      <c r="F829" s="2" t="str">
        <f>_xlfn.XLOOKUP(orders!C829,customers!$A$2:$A$1001,customers!$B$2:$B$1001)</f>
        <v>Ibby Charters</v>
      </c>
      <c r="G829" s="2" t="str">
        <f>IF(_xlfn.XLOOKUP(C829,customers!$A$2:$A$1001,customers!$C$2:$C$1001,,)=0,"",_xlfn.XLOOKUP(C829,customers!$A$2:$A$1001,customers!$C$2:$C$1001,,))</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cm="1">
        <f t="array" ref="N829">_xlfn.IFS(I829="Rob","Robusta",I829="Exc","Excelsa",I829="Ara","Arabica",I829="Lib","Liberica")</f>
        <v>Excelsa</v>
      </c>
      <c r="O829" t="str" cm="1">
        <f t="array" ref="O829">_xlfn.IFS(J829="M","Medium",J829="L","Light",J829="D","Dark")</f>
        <v>Medium</v>
      </c>
      <c r="P829" t="str">
        <f>_xlfn.XLOOKUP(Orders[[#This Row],[Customer ID]],customers!$A$1:$A$1001,customers!$I$1:$I$1001,,0)</f>
        <v>No</v>
      </c>
    </row>
    <row r="830" spans="1:16" x14ac:dyDescent="0.25">
      <c r="A830" s="2" t="s">
        <v>5170</v>
      </c>
      <c r="B830" s="3">
        <v>44505</v>
      </c>
      <c r="C830" s="2" t="s">
        <v>5171</v>
      </c>
      <c r="D830" t="s">
        <v>6168</v>
      </c>
      <c r="E830" s="2">
        <v>6</v>
      </c>
      <c r="F830" s="2" t="str">
        <f>_xlfn.XLOOKUP(orders!C830,customers!$A$2:$A$1001,customers!$B$2:$B$1001)</f>
        <v>Adora Roubert</v>
      </c>
      <c r="G830" s="2" t="str">
        <f>IF(_xlfn.XLOOKUP(C830,customers!$A$2:$A$1001,customers!$C$2:$C$1001,,)=0,"",_xlfn.XLOOKUP(C830,customers!$A$2:$A$1001,customers!$C$2:$C$1001,,))</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cm="1">
        <f t="array" ref="N830">_xlfn.IFS(I830="Rob","Robusta",I830="Exc","Excelsa",I830="Ara","Arabica",I830="Lib","Liberica")</f>
        <v>Arabica</v>
      </c>
      <c r="O830" t="str" cm="1">
        <f t="array" ref="O830">_xlfn.IFS(J830="M","Medium",J830="L","Light",J830="D","Dark")</f>
        <v>Dark</v>
      </c>
      <c r="P830" t="str">
        <f>_xlfn.XLOOKUP(Orders[[#This Row],[Customer ID]],customers!$A$1:$A$1001,customers!$I$1:$I$1001,,0)</f>
        <v>Yes</v>
      </c>
    </row>
    <row r="831" spans="1:16" x14ac:dyDescent="0.25">
      <c r="A831" s="2" t="s">
        <v>5176</v>
      </c>
      <c r="B831" s="3">
        <v>43890</v>
      </c>
      <c r="C831" s="2" t="s">
        <v>5177</v>
      </c>
      <c r="D831" t="s">
        <v>6154</v>
      </c>
      <c r="E831" s="2">
        <v>1</v>
      </c>
      <c r="F831" s="2" t="str">
        <f>_xlfn.XLOOKUP(orders!C831,customers!$A$2:$A$1001,customers!$B$2:$B$1001)</f>
        <v>Hillel Mairs</v>
      </c>
      <c r="G831" s="2" t="str">
        <f>IF(_xlfn.XLOOKUP(C831,customers!$A$2:$A$1001,customers!$C$2:$C$1001,,)=0,"",_xlfn.XLOOKUP(C831,customers!$A$2:$A$1001,customers!$C$2:$C$1001,,))</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cm="1">
        <f t="array" ref="N831">_xlfn.IFS(I831="Rob","Robusta",I831="Exc","Excelsa",I831="Ara","Arabica",I831="Lib","Liberica")</f>
        <v>Arabica</v>
      </c>
      <c r="O831" t="str" cm="1">
        <f t="array" ref="O831">_xlfn.IFS(J831="M","Medium",J831="L","Light",J831="D","Dark")</f>
        <v>Dark</v>
      </c>
      <c r="P831" t="str">
        <f>_xlfn.XLOOKUP(Orders[[#This Row],[Customer ID]],customers!$A$1:$A$1001,customers!$I$1:$I$1001,,0)</f>
        <v>No</v>
      </c>
    </row>
    <row r="832" spans="1:16" x14ac:dyDescent="0.25">
      <c r="A832" s="2" t="s">
        <v>5182</v>
      </c>
      <c r="B832" s="3">
        <v>44414</v>
      </c>
      <c r="C832" s="2" t="s">
        <v>5183</v>
      </c>
      <c r="D832" t="s">
        <v>6141</v>
      </c>
      <c r="E832" s="2">
        <v>2</v>
      </c>
      <c r="F832" s="2" t="str">
        <f>_xlfn.XLOOKUP(orders!C832,customers!$A$2:$A$1001,customers!$B$2:$B$1001)</f>
        <v>Helaina Rainforth</v>
      </c>
      <c r="G832" s="2" t="str">
        <f>IF(_xlfn.XLOOKUP(C832,customers!$A$2:$A$1001,customers!$C$2:$C$1001,,)=0,"",_xlfn.XLOOKUP(C832,customers!$A$2:$A$1001,customers!$C$2:$C$1001,,))</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cm="1">
        <f t="array" ref="N832">_xlfn.IFS(I832="Rob","Robusta",I832="Exc","Excelsa",I832="Ara","Arabica",I832="Lib","Liberica")</f>
        <v>Excelsa</v>
      </c>
      <c r="O832" t="str" cm="1">
        <f t="array" ref="O832">_xlfn.IFS(J832="M","Medium",J832="L","Light",J832="D","Dark")</f>
        <v>Medium</v>
      </c>
      <c r="P832" t="str">
        <f>_xlfn.XLOOKUP(Orders[[#This Row],[Customer ID]],customers!$A$1:$A$1001,customers!$I$1:$I$1001,,0)</f>
        <v>No</v>
      </c>
    </row>
    <row r="833" spans="1:16" x14ac:dyDescent="0.25">
      <c r="A833" s="2" t="s">
        <v>5182</v>
      </c>
      <c r="B833" s="3">
        <v>44414</v>
      </c>
      <c r="C833" s="2" t="s">
        <v>5183</v>
      </c>
      <c r="D833" t="s">
        <v>6154</v>
      </c>
      <c r="E833" s="2">
        <v>2</v>
      </c>
      <c r="F833" s="2" t="str">
        <f>_xlfn.XLOOKUP(orders!C833,customers!$A$2:$A$1001,customers!$B$2:$B$1001)</f>
        <v>Helaina Rainforth</v>
      </c>
      <c r="G833" s="2" t="str">
        <f>IF(_xlfn.XLOOKUP(C833,customers!$A$2:$A$1001,customers!$C$2:$C$1001,,)=0,"",_xlfn.XLOOKUP(C833,customers!$A$2:$A$1001,customers!$C$2:$C$1001,,))</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cm="1">
        <f t="array" ref="N833">_xlfn.IFS(I833="Rob","Robusta",I833="Exc","Excelsa",I833="Ara","Arabica",I833="Lib","Liberica")</f>
        <v>Arabica</v>
      </c>
      <c r="O833" t="str" cm="1">
        <f t="array" ref="O833">_xlfn.IFS(J833="M","Medium",J833="L","Light",J833="D","Dark")</f>
        <v>Dark</v>
      </c>
      <c r="P833" t="str">
        <f>_xlfn.XLOOKUP(Orders[[#This Row],[Customer ID]],customers!$A$1:$A$1001,customers!$I$1:$I$1001,,0)</f>
        <v>No</v>
      </c>
    </row>
    <row r="834" spans="1:16" x14ac:dyDescent="0.25">
      <c r="A834" s="2" t="s">
        <v>5193</v>
      </c>
      <c r="B834" s="3">
        <v>44274</v>
      </c>
      <c r="C834" s="2" t="s">
        <v>5194</v>
      </c>
      <c r="D834" t="s">
        <v>6138</v>
      </c>
      <c r="E834" s="2">
        <v>6</v>
      </c>
      <c r="F834" s="2" t="str">
        <f>_xlfn.XLOOKUP(orders!C834,customers!$A$2:$A$1001,customers!$B$2:$B$1001)</f>
        <v>Isac Jesper</v>
      </c>
      <c r="G834" s="2" t="str">
        <f>IF(_xlfn.XLOOKUP(C834,customers!$A$2:$A$1001,customers!$C$2:$C$1001,,)=0,"",_xlfn.XLOOKUP(C834,customers!$A$2:$A$1001,customers!$C$2:$C$1001,,))</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cm="1">
        <f t="array" ref="N834">_xlfn.IFS(I834="Rob","Robusta",I834="Exc","Excelsa",I834="Ara","Arabica",I834="Lib","Liberica")</f>
        <v>Robusta</v>
      </c>
      <c r="O834" t="str" cm="1">
        <f t="array" ref="O834">_xlfn.IFS(J834="M","Medium",J834="L","Light",J834="D","Dark")</f>
        <v>Medium</v>
      </c>
      <c r="P834" t="str">
        <f>_xlfn.XLOOKUP(Orders[[#This Row],[Customer ID]],customers!$A$1:$A$1001,customers!$I$1:$I$1001,,0)</f>
        <v>No</v>
      </c>
    </row>
    <row r="835" spans="1:16" x14ac:dyDescent="0.25">
      <c r="A835" s="2" t="s">
        <v>5199</v>
      </c>
      <c r="B835" s="3">
        <v>44302</v>
      </c>
      <c r="C835" s="2" t="s">
        <v>5200</v>
      </c>
      <c r="D835" t="s">
        <v>6149</v>
      </c>
      <c r="E835" s="2">
        <v>4</v>
      </c>
      <c r="F835" s="2" t="str">
        <f>_xlfn.XLOOKUP(orders!C835,customers!$A$2:$A$1001,customers!$B$2:$B$1001)</f>
        <v>Lenette Dwerryhouse</v>
      </c>
      <c r="G835" s="2" t="str">
        <f>IF(_xlfn.XLOOKUP(C835,customers!$A$2:$A$1001,customers!$C$2:$C$1001,,)=0,"",_xlfn.XLOOKUP(C835,customers!$A$2:$A$1001,customers!$C$2:$C$1001,,))</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L835*E835</f>
        <v>82.339999999999989</v>
      </c>
      <c r="N835" t="str" cm="1">
        <f t="array" ref="N835">_xlfn.IFS(I835="Rob","Robusta",I835="Exc","Excelsa",I835="Ara","Arabica",I835="Lib","Liberica")</f>
        <v>Robusta</v>
      </c>
      <c r="O835" t="str" cm="1">
        <f t="array" ref="O835">_xlfn.IFS(J835="M","Medium",J835="L","Light",J835="D","Dark")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_xlfn.XLOOKUP(orders!C836,customers!$A$2:$A$1001,customers!$B$2:$B$1001)</f>
        <v>Nadeen Broomer</v>
      </c>
      <c r="G836" s="2" t="str">
        <f>IF(_xlfn.XLOOKUP(C836,customers!$A$2:$A$1001,customers!$C$2:$C$1001,,)=0,"",_xlfn.XLOOKUP(C836,customers!$A$2:$A$1001,customers!$C$2:$C$1001,,))</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cm="1">
        <f t="array" ref="N836">_xlfn.IFS(I836="Rob","Robusta",I836="Exc","Excelsa",I836="Ara","Arabica",I836="Lib","Liberica")</f>
        <v>Arabica</v>
      </c>
      <c r="O836" t="str" cm="1">
        <f t="array" ref="O836">_xlfn.IFS(J836="M","Medium",J836="L","Light",J836="D","Dark")</f>
        <v>Dark</v>
      </c>
      <c r="P836" t="str">
        <f>_xlfn.XLOOKUP(Orders[[#This Row],[Customer ID]],customers!$A$1:$A$1001,customers!$I$1:$I$1001,,0)</f>
        <v>No</v>
      </c>
    </row>
    <row r="837" spans="1:16" x14ac:dyDescent="0.25">
      <c r="A837" s="2" t="s">
        <v>5211</v>
      </c>
      <c r="B837" s="3">
        <v>44270</v>
      </c>
      <c r="C837" s="2" t="s">
        <v>5212</v>
      </c>
      <c r="D837" t="s">
        <v>6176</v>
      </c>
      <c r="E837" s="2">
        <v>1</v>
      </c>
      <c r="F837" s="2" t="str">
        <f>_xlfn.XLOOKUP(orders!C837,customers!$A$2:$A$1001,customers!$B$2:$B$1001)</f>
        <v>Konstantine Thoumasson</v>
      </c>
      <c r="G837" s="2" t="str">
        <f>IF(_xlfn.XLOOKUP(C837,customers!$A$2:$A$1001,customers!$C$2:$C$1001,,)=0,"",_xlfn.XLOOKUP(C837,customers!$A$2:$A$1001,customers!$C$2:$C$1001,,))</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cm="1">
        <f t="array" ref="N837">_xlfn.IFS(I837="Rob","Robusta",I837="Exc","Excelsa",I837="Ara","Arabica",I837="Lib","Liberica")</f>
        <v>Excelsa</v>
      </c>
      <c r="O837" t="str" cm="1">
        <f t="array" ref="O837">_xlfn.IFS(J837="M","Medium",J837="L","Light",J837="D","Dark")</f>
        <v>Light</v>
      </c>
      <c r="P837" t="str">
        <f>_xlfn.XLOOKUP(Orders[[#This Row],[Customer ID]],customers!$A$1:$A$1001,customers!$I$1:$I$1001,,0)</f>
        <v>Yes</v>
      </c>
    </row>
    <row r="838" spans="1:16" x14ac:dyDescent="0.25">
      <c r="A838" s="2" t="s">
        <v>5216</v>
      </c>
      <c r="B838" s="3">
        <v>44486</v>
      </c>
      <c r="C838" s="2" t="s">
        <v>5217</v>
      </c>
      <c r="D838" t="s">
        <v>6154</v>
      </c>
      <c r="E838" s="2">
        <v>4</v>
      </c>
      <c r="F838" s="2" t="str">
        <f>_xlfn.XLOOKUP(orders!C838,customers!$A$2:$A$1001,customers!$B$2:$B$1001)</f>
        <v>Frans Habbergham</v>
      </c>
      <c r="G838" s="2" t="str">
        <f>IF(_xlfn.XLOOKUP(C838,customers!$A$2:$A$1001,customers!$C$2:$C$1001,,)=0,"",_xlfn.XLOOKUP(C838,customers!$A$2:$A$1001,customers!$C$2:$C$1001,,))</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cm="1">
        <f t="array" ref="N838">_xlfn.IFS(I838="Rob","Robusta",I838="Exc","Excelsa",I838="Ara","Arabica",I838="Lib","Liberica")</f>
        <v>Arabica</v>
      </c>
      <c r="O838" t="str" cm="1">
        <f t="array" ref="O838">_xlfn.IFS(J838="M","Medium",J838="L","Light",J838="D","Dark")</f>
        <v>Dark</v>
      </c>
      <c r="P838" t="str">
        <f>_xlfn.XLOOKUP(Orders[[#This Row],[Customer ID]],customers!$A$1:$A$1001,customers!$I$1:$I$1001,,0)</f>
        <v>No</v>
      </c>
    </row>
    <row r="839" spans="1:16" x14ac:dyDescent="0.25">
      <c r="A839" s="2" t="s">
        <v>5222</v>
      </c>
      <c r="B839" s="3">
        <v>43715</v>
      </c>
      <c r="C839" s="2" t="s">
        <v>5113</v>
      </c>
      <c r="D839" t="s">
        <v>6181</v>
      </c>
      <c r="E839" s="2">
        <v>3</v>
      </c>
      <c r="F839" s="2" t="str">
        <f>_xlfn.XLOOKUP(orders!C839,customers!$A$2:$A$1001,customers!$B$2:$B$1001)</f>
        <v>Allis Wilmore</v>
      </c>
      <c r="G839" s="2" t="str">
        <f>IF(_xlfn.XLOOKUP(C839,customers!$A$2:$A$1001,customers!$C$2:$C$1001,,)=0,"",_xlfn.XLOOKUP(C839,customers!$A$2:$A$1001,customers!$C$2:$C$1001,,))</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cm="1">
        <f t="array" ref="N839">_xlfn.IFS(I839="Rob","Robusta",I839="Exc","Excelsa",I839="Ara","Arabica",I839="Lib","Liberica")</f>
        <v>Liberica</v>
      </c>
      <c r="O839" t="str" cm="1">
        <f t="array" ref="O839">_xlfn.IFS(J839="M","Medium",J839="L","Light",J839="D","Dark")</f>
        <v>Medium</v>
      </c>
      <c r="P839" t="str">
        <f>_xlfn.XLOOKUP(Orders[[#This Row],[Customer ID]],customers!$A$1:$A$1001,customers!$I$1:$I$1001,,0)</f>
        <v>No</v>
      </c>
    </row>
    <row r="840" spans="1:16" x14ac:dyDescent="0.25">
      <c r="A840" s="2" t="s">
        <v>5228</v>
      </c>
      <c r="B840" s="3">
        <v>44755</v>
      </c>
      <c r="C840" s="2" t="s">
        <v>5229</v>
      </c>
      <c r="D840" t="s">
        <v>6168</v>
      </c>
      <c r="E840" s="2">
        <v>5</v>
      </c>
      <c r="F840" s="2" t="str">
        <f>_xlfn.XLOOKUP(orders!C840,customers!$A$2:$A$1001,customers!$B$2:$B$1001)</f>
        <v>Romain Avrashin</v>
      </c>
      <c r="G840" s="2" t="str">
        <f>IF(_xlfn.XLOOKUP(C840,customers!$A$2:$A$1001,customers!$C$2:$C$1001,,)=0,"",_xlfn.XLOOKUP(C840,customers!$A$2:$A$1001,customers!$C$2:$C$1001,,))</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cm="1">
        <f t="array" ref="N840">_xlfn.IFS(I840="Rob","Robusta",I840="Exc","Excelsa",I840="Ara","Arabica",I840="Lib","Liberica")</f>
        <v>Arabica</v>
      </c>
      <c r="O840" t="str" cm="1">
        <f t="array" ref="O840">_xlfn.IFS(J840="M","Medium",J840="L","Light",J840="D","Dark")</f>
        <v>Dark</v>
      </c>
      <c r="P840" t="str">
        <f>_xlfn.XLOOKUP(Orders[[#This Row],[Customer ID]],customers!$A$1:$A$1001,customers!$I$1:$I$1001,,0)</f>
        <v>No</v>
      </c>
    </row>
    <row r="841" spans="1:16" x14ac:dyDescent="0.25">
      <c r="A841" s="2" t="s">
        <v>5234</v>
      </c>
      <c r="B841" s="3">
        <v>44521</v>
      </c>
      <c r="C841" s="2" t="s">
        <v>5235</v>
      </c>
      <c r="D841" t="s">
        <v>6139</v>
      </c>
      <c r="E841" s="2">
        <v>5</v>
      </c>
      <c r="F841" s="2" t="str">
        <f>_xlfn.XLOOKUP(orders!C841,customers!$A$2:$A$1001,customers!$B$2:$B$1001)</f>
        <v>Miran Doidge</v>
      </c>
      <c r="G841" s="2" t="str">
        <f>IF(_xlfn.XLOOKUP(C841,customers!$A$2:$A$1001,customers!$C$2:$C$1001,,)=0,"",_xlfn.XLOOKUP(C841,customers!$A$2:$A$1001,customers!$C$2:$C$1001,,))</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cm="1">
        <f t="array" ref="N841">_xlfn.IFS(I841="Rob","Robusta",I841="Exc","Excelsa",I841="Ara","Arabica",I841="Lib","Liberica")</f>
        <v>Excelsa</v>
      </c>
      <c r="O841" t="str" cm="1">
        <f t="array" ref="O841">_xlfn.IFS(J841="M","Medium",J841="L","Light",J841="D","Dark")</f>
        <v>Medium</v>
      </c>
      <c r="P841" t="str">
        <f>_xlfn.XLOOKUP(Orders[[#This Row],[Customer ID]],customers!$A$1:$A$1001,customers!$I$1:$I$1001,,0)</f>
        <v>No</v>
      </c>
    </row>
    <row r="842" spans="1:16" x14ac:dyDescent="0.25">
      <c r="A842" s="2" t="s">
        <v>5240</v>
      </c>
      <c r="B842" s="3">
        <v>44574</v>
      </c>
      <c r="C842" s="2" t="s">
        <v>5241</v>
      </c>
      <c r="D842" t="s">
        <v>6173</v>
      </c>
      <c r="E842" s="2">
        <v>4</v>
      </c>
      <c r="F842" s="2" t="str">
        <f>_xlfn.XLOOKUP(orders!C842,customers!$A$2:$A$1001,customers!$B$2:$B$1001)</f>
        <v>Janeva Edinboro</v>
      </c>
      <c r="G842" s="2" t="str">
        <f>IF(_xlfn.XLOOKUP(C842,customers!$A$2:$A$1001,customers!$C$2:$C$1001,,)=0,"",_xlfn.XLOOKUP(C842,customers!$A$2:$A$1001,customers!$C$2:$C$1001,,))</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cm="1">
        <f t="array" ref="N842">_xlfn.IFS(I842="Rob","Robusta",I842="Exc","Excelsa",I842="Ara","Arabica",I842="Lib","Liberica")</f>
        <v>Robusta</v>
      </c>
      <c r="O842" t="str" cm="1">
        <f t="array" ref="O842">_xlfn.IFS(J842="M","Medium",J842="L","Light",J842="D","Dark")</f>
        <v>Light</v>
      </c>
      <c r="P842" t="str">
        <f>_xlfn.XLOOKUP(Orders[[#This Row],[Customer ID]],customers!$A$1:$A$1001,customers!$I$1:$I$1001,,0)</f>
        <v>Yes</v>
      </c>
    </row>
    <row r="843" spans="1:16" x14ac:dyDescent="0.25">
      <c r="A843" s="2" t="s">
        <v>5246</v>
      </c>
      <c r="B843" s="3">
        <v>44755</v>
      </c>
      <c r="C843" s="2" t="s">
        <v>5247</v>
      </c>
      <c r="D843" t="s">
        <v>6159</v>
      </c>
      <c r="E843" s="2">
        <v>1</v>
      </c>
      <c r="F843" s="2" t="str">
        <f>_xlfn.XLOOKUP(orders!C843,customers!$A$2:$A$1001,customers!$B$2:$B$1001)</f>
        <v>Trumaine Tewelson</v>
      </c>
      <c r="G843" s="2" t="str">
        <f>IF(_xlfn.XLOOKUP(C843,customers!$A$2:$A$1001,customers!$C$2:$C$1001,,)=0,"",_xlfn.XLOOKUP(C843,customers!$A$2:$A$1001,customers!$C$2:$C$1001,,))</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cm="1">
        <f t="array" ref="N843">_xlfn.IFS(I843="Rob","Robusta",I843="Exc","Excelsa",I843="Ara","Arabica",I843="Lib","Liberica")</f>
        <v>Liberica</v>
      </c>
      <c r="O843" t="str" cm="1">
        <f t="array" ref="O843">_xlfn.IFS(J843="M","Medium",J843="L","Light",J843="D","Dark")</f>
        <v>Medium</v>
      </c>
      <c r="P843" t="str">
        <f>_xlfn.XLOOKUP(Orders[[#This Row],[Customer ID]],customers!$A$1:$A$1001,customers!$I$1:$I$1001,,0)</f>
        <v>No</v>
      </c>
    </row>
    <row r="844" spans="1:16" x14ac:dyDescent="0.25">
      <c r="A844" s="2" t="s">
        <v>5251</v>
      </c>
      <c r="B844" s="3">
        <v>44502</v>
      </c>
      <c r="C844" s="2" t="s">
        <v>5188</v>
      </c>
      <c r="D844" t="s">
        <v>6156</v>
      </c>
      <c r="E844" s="2">
        <v>2</v>
      </c>
      <c r="F844" s="2" t="str">
        <f>_xlfn.XLOOKUP(orders!C844,customers!$A$2:$A$1001,customers!$B$2:$B$1001)</f>
        <v>Odelia Skerme</v>
      </c>
      <c r="G844" s="2" t="str">
        <f>IF(_xlfn.XLOOKUP(C844,customers!$A$2:$A$1001,customers!$C$2:$C$1001,,)=0,"",_xlfn.XLOOKUP(C844,customers!$A$2:$A$1001,customers!$C$2:$C$1001,,))</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cm="1">
        <f t="array" ref="N844">_xlfn.IFS(I844="Rob","Robusta",I844="Exc","Excelsa",I844="Ara","Arabica",I844="Lib","Liberica")</f>
        <v>Excelsa</v>
      </c>
      <c r="O844" t="str" cm="1">
        <f t="array" ref="O844">_xlfn.IFS(J844="M","Medium",J844="L","Light",J844="D","Dark")</f>
        <v>Medium</v>
      </c>
      <c r="P844" t="str">
        <f>_xlfn.XLOOKUP(Orders[[#This Row],[Customer ID]],customers!$A$1:$A$1001,customers!$I$1:$I$1001,,0)</f>
        <v>Yes</v>
      </c>
    </row>
    <row r="845" spans="1:16" x14ac:dyDescent="0.25">
      <c r="A845" s="2" t="s">
        <v>5256</v>
      </c>
      <c r="B845" s="3">
        <v>44387</v>
      </c>
      <c r="C845" s="2" t="s">
        <v>5257</v>
      </c>
      <c r="D845" t="s">
        <v>6156</v>
      </c>
      <c r="E845" s="2">
        <v>2</v>
      </c>
      <c r="F845" s="2" t="str">
        <f>_xlfn.XLOOKUP(orders!C845,customers!$A$2:$A$1001,customers!$B$2:$B$1001)</f>
        <v>De Drewitt</v>
      </c>
      <c r="G845" s="2" t="str">
        <f>IF(_xlfn.XLOOKUP(C845,customers!$A$2:$A$1001,customers!$C$2:$C$1001,,)=0,"",_xlfn.XLOOKUP(C845,customers!$A$2:$A$1001,customers!$C$2:$C$1001,,))</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cm="1">
        <f t="array" ref="N845">_xlfn.IFS(I845="Rob","Robusta",I845="Exc","Excelsa",I845="Ara","Arabica",I845="Lib","Liberica")</f>
        <v>Excelsa</v>
      </c>
      <c r="O845" t="str" cm="1">
        <f t="array" ref="O845">_xlfn.IFS(J845="M","Medium",J845="L","Light",J845="D","Dark")</f>
        <v>Medium</v>
      </c>
      <c r="P845" t="str">
        <f>_xlfn.XLOOKUP(Orders[[#This Row],[Customer ID]],customers!$A$1:$A$1001,customers!$I$1:$I$1001,,0)</f>
        <v>Yes</v>
      </c>
    </row>
    <row r="846" spans="1:16" x14ac:dyDescent="0.25">
      <c r="A846" s="2" t="s">
        <v>5262</v>
      </c>
      <c r="B846" s="3">
        <v>44476</v>
      </c>
      <c r="C846" s="2" t="s">
        <v>5263</v>
      </c>
      <c r="D846" t="s">
        <v>6158</v>
      </c>
      <c r="E846" s="2">
        <v>6</v>
      </c>
      <c r="F846" s="2" t="str">
        <f>_xlfn.XLOOKUP(orders!C846,customers!$A$2:$A$1001,customers!$B$2:$B$1001)</f>
        <v>Adelheid Gladhill</v>
      </c>
      <c r="G846" s="2" t="str">
        <f>IF(_xlfn.XLOOKUP(C846,customers!$A$2:$A$1001,customers!$C$2:$C$1001,,)=0,"",_xlfn.XLOOKUP(C846,customers!$A$2:$A$1001,customers!$C$2:$C$1001,,))</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cm="1">
        <f t="array" ref="N846">_xlfn.IFS(I846="Rob","Robusta",I846="Exc","Excelsa",I846="Ara","Arabica",I846="Lib","Liberica")</f>
        <v>Arabica</v>
      </c>
      <c r="O846" t="str" cm="1">
        <f t="array" ref="O846">_xlfn.IFS(J846="M","Medium",J846="L","Light",J846="D","Dark")</f>
        <v>Dark</v>
      </c>
      <c r="P846" t="str">
        <f>_xlfn.XLOOKUP(Orders[[#This Row],[Customer ID]],customers!$A$1:$A$1001,customers!$I$1:$I$1001,,0)</f>
        <v>Yes</v>
      </c>
    </row>
    <row r="847" spans="1:16" x14ac:dyDescent="0.25">
      <c r="A847" s="2" t="s">
        <v>5268</v>
      </c>
      <c r="B847" s="3">
        <v>43889</v>
      </c>
      <c r="C847" s="2" t="s">
        <v>5269</v>
      </c>
      <c r="D847" t="s">
        <v>6185</v>
      </c>
      <c r="E847" s="2">
        <v>6</v>
      </c>
      <c r="F847" s="2" t="str">
        <f>_xlfn.XLOOKUP(orders!C847,customers!$A$2:$A$1001,customers!$B$2:$B$1001)</f>
        <v>Murielle Lorinez</v>
      </c>
      <c r="G847" s="2" t="str">
        <f>IF(_xlfn.XLOOKUP(C847,customers!$A$2:$A$1001,customers!$C$2:$C$1001,,)=0,"",_xlfn.XLOOKUP(C847,customers!$A$2:$A$1001,customers!$C$2:$C$1001,,))</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cm="1">
        <f t="array" ref="N847">_xlfn.IFS(I847="Rob","Robusta",I847="Exc","Excelsa",I847="Ara","Arabica",I847="Lib","Liberica")</f>
        <v>Excelsa</v>
      </c>
      <c r="O847" t="str" cm="1">
        <f t="array" ref="O847">_xlfn.IFS(J847="M","Medium",J847="L","Light",J847="D","Dark")</f>
        <v>Dark</v>
      </c>
      <c r="P847" t="str">
        <f>_xlfn.XLOOKUP(Orders[[#This Row],[Customer ID]],customers!$A$1:$A$1001,customers!$I$1:$I$1001,,0)</f>
        <v>No</v>
      </c>
    </row>
    <row r="848" spans="1:16" x14ac:dyDescent="0.25">
      <c r="A848" s="2" t="s">
        <v>5273</v>
      </c>
      <c r="B848" s="3">
        <v>44747</v>
      </c>
      <c r="C848" s="2" t="s">
        <v>5274</v>
      </c>
      <c r="D848" t="s">
        <v>6175</v>
      </c>
      <c r="E848" s="2">
        <v>2</v>
      </c>
      <c r="F848" s="2" t="str">
        <f>_xlfn.XLOOKUP(orders!C848,customers!$A$2:$A$1001,customers!$B$2:$B$1001)</f>
        <v>Edin Mathe</v>
      </c>
      <c r="G848" s="2" t="str">
        <f>IF(_xlfn.XLOOKUP(C848,customers!$A$2:$A$1001,customers!$C$2:$C$1001,,)=0,"",_xlfn.XLOOKUP(C848,customers!$A$2:$A$1001,customers!$C$2:$C$1001,,))</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cm="1">
        <f t="array" ref="N848">_xlfn.IFS(I848="Rob","Robusta",I848="Exc","Excelsa",I848="Ara","Arabica",I848="Lib","Liberica")</f>
        <v>Arabica</v>
      </c>
      <c r="O848" t="str" cm="1">
        <f t="array" ref="O848">_xlfn.IFS(J848="M","Medium",J848="L","Light",J848="D","Dark")</f>
        <v>Medium</v>
      </c>
      <c r="P848" t="str">
        <f>_xlfn.XLOOKUP(Orders[[#This Row],[Customer ID]],customers!$A$1:$A$1001,customers!$I$1:$I$1001,,0)</f>
        <v>Yes</v>
      </c>
    </row>
    <row r="849" spans="1:16" x14ac:dyDescent="0.25">
      <c r="A849" s="2" t="s">
        <v>5278</v>
      </c>
      <c r="B849" s="3">
        <v>44460</v>
      </c>
      <c r="C849" s="2" t="s">
        <v>5279</v>
      </c>
      <c r="D849" t="s">
        <v>6154</v>
      </c>
      <c r="E849" s="2">
        <v>3</v>
      </c>
      <c r="F849" s="2" t="str">
        <f>_xlfn.XLOOKUP(orders!C849,customers!$A$2:$A$1001,customers!$B$2:$B$1001)</f>
        <v>Mordy Van Der Vlies</v>
      </c>
      <c r="G849" s="2" t="str">
        <f>IF(_xlfn.XLOOKUP(C849,customers!$A$2:$A$1001,customers!$C$2:$C$1001,,)=0,"",_xlfn.XLOOKUP(C849,customers!$A$2:$A$1001,customers!$C$2:$C$1001,,))</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cm="1">
        <f t="array" ref="N849">_xlfn.IFS(I849="Rob","Robusta",I849="Exc","Excelsa",I849="Ara","Arabica",I849="Lib","Liberica")</f>
        <v>Arabica</v>
      </c>
      <c r="O849" t="str" cm="1">
        <f t="array" ref="O849">_xlfn.IFS(J849="M","Medium",J849="L","Light",J849="D","Dark")</f>
        <v>Dark</v>
      </c>
      <c r="P849" t="str">
        <f>_xlfn.XLOOKUP(Orders[[#This Row],[Customer ID]],customers!$A$1:$A$1001,customers!$I$1:$I$1001,,0)</f>
        <v>Yes</v>
      </c>
    </row>
    <row r="850" spans="1:16" x14ac:dyDescent="0.25">
      <c r="A850" s="2" t="s">
        <v>5283</v>
      </c>
      <c r="B850" s="3">
        <v>43468</v>
      </c>
      <c r="C850" s="2" t="s">
        <v>5284</v>
      </c>
      <c r="D850" t="s">
        <v>6176</v>
      </c>
      <c r="E850" s="2">
        <v>6</v>
      </c>
      <c r="F850" s="2" t="str">
        <f>_xlfn.XLOOKUP(orders!C850,customers!$A$2:$A$1001,customers!$B$2:$B$1001)</f>
        <v>Spencer Wastell</v>
      </c>
      <c r="G850" s="2" t="str">
        <f>IF(_xlfn.XLOOKUP(C850,customers!$A$2:$A$1001,customers!$C$2:$C$1001,,)=0,"",_xlfn.XLOOKUP(C850,customers!$A$2:$A$1001,customers!$C$2:$C$1001,,))</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cm="1">
        <f t="array" ref="N850">_xlfn.IFS(I850="Rob","Robusta",I850="Exc","Excelsa",I850="Ara","Arabica",I850="Lib","Liberica")</f>
        <v>Excelsa</v>
      </c>
      <c r="O850" t="str" cm="1">
        <f t="array" ref="O850">_xlfn.IFS(J850="M","Medium",J850="L","Light",J850="D","Dark")</f>
        <v>Light</v>
      </c>
      <c r="P850" t="str">
        <f>_xlfn.XLOOKUP(Orders[[#This Row],[Customer ID]],customers!$A$1:$A$1001,customers!$I$1:$I$1001,,0)</f>
        <v>No</v>
      </c>
    </row>
    <row r="851" spans="1:16" x14ac:dyDescent="0.25">
      <c r="A851" s="2" t="s">
        <v>5288</v>
      </c>
      <c r="B851" s="3">
        <v>44628</v>
      </c>
      <c r="C851" s="2" t="s">
        <v>5289</v>
      </c>
      <c r="D851" t="s">
        <v>6167</v>
      </c>
      <c r="E851" s="2">
        <v>6</v>
      </c>
      <c r="F851" s="2" t="str">
        <f>_xlfn.XLOOKUP(orders!C851,customers!$A$2:$A$1001,customers!$B$2:$B$1001)</f>
        <v>Jemimah Ethelston</v>
      </c>
      <c r="G851" s="2" t="str">
        <f>IF(_xlfn.XLOOKUP(C851,customers!$A$2:$A$1001,customers!$C$2:$C$1001,,)=0,"",_xlfn.XLOOKUP(C851,customers!$A$2:$A$1001,customers!$C$2:$C$1001,,))</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cm="1">
        <f t="array" ref="N851">_xlfn.IFS(I851="Rob","Robusta",I851="Exc","Excelsa",I851="Ara","Arabica",I851="Lib","Liberica")</f>
        <v>Arabica</v>
      </c>
      <c r="O851" t="str" cm="1">
        <f t="array" ref="O851">_xlfn.IFS(J851="M","Medium",J851="L","Light",J851="D","Dark")</f>
        <v>Light</v>
      </c>
      <c r="P851" t="str">
        <f>_xlfn.XLOOKUP(Orders[[#This Row],[Customer ID]],customers!$A$1:$A$1001,customers!$I$1:$I$1001,,0)</f>
        <v>Yes</v>
      </c>
    </row>
    <row r="852" spans="1:16" x14ac:dyDescent="0.25">
      <c r="A852" s="2" t="s">
        <v>5288</v>
      </c>
      <c r="B852" s="3">
        <v>44628</v>
      </c>
      <c r="C852" s="2" t="s">
        <v>5289</v>
      </c>
      <c r="D852" t="s">
        <v>6152</v>
      </c>
      <c r="E852" s="2">
        <v>2</v>
      </c>
      <c r="F852" s="2" t="str">
        <f>_xlfn.XLOOKUP(orders!C852,customers!$A$2:$A$1001,customers!$B$2:$B$1001)</f>
        <v>Jemimah Ethelston</v>
      </c>
      <c r="G852" s="2" t="str">
        <f>IF(_xlfn.XLOOKUP(C852,customers!$A$2:$A$1001,customers!$C$2:$C$1001,,)=0,"",_xlfn.XLOOKUP(C852,customers!$A$2:$A$1001,customers!$C$2:$C$1001,,))</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cm="1">
        <f t="array" ref="N852">_xlfn.IFS(I852="Rob","Robusta",I852="Exc","Excelsa",I852="Ara","Arabica",I852="Lib","Liberica")</f>
        <v>Arabica</v>
      </c>
      <c r="O852" t="str" cm="1">
        <f t="array" ref="O852">_xlfn.IFS(J852="M","Medium",J852="L","Light",J852="D","Dark")</f>
        <v>Medium</v>
      </c>
      <c r="P852" t="str">
        <f>_xlfn.XLOOKUP(Orders[[#This Row],[Customer ID]],customers!$A$1:$A$1001,customers!$I$1:$I$1001,,0)</f>
        <v>Yes</v>
      </c>
    </row>
    <row r="853" spans="1:16" x14ac:dyDescent="0.25">
      <c r="A853" s="2" t="s">
        <v>5299</v>
      </c>
      <c r="B853" s="3">
        <v>43900</v>
      </c>
      <c r="C853" s="2" t="s">
        <v>5300</v>
      </c>
      <c r="D853" t="s">
        <v>6169</v>
      </c>
      <c r="E853" s="2">
        <v>1</v>
      </c>
      <c r="F853" s="2" t="str">
        <f>_xlfn.XLOOKUP(orders!C853,customers!$A$2:$A$1001,customers!$B$2:$B$1001)</f>
        <v>Perice Eberz</v>
      </c>
      <c r="G853" s="2" t="str">
        <f>IF(_xlfn.XLOOKUP(C853,customers!$A$2:$A$1001,customers!$C$2:$C$1001,,)=0,"",_xlfn.XLOOKUP(C853,customers!$A$2:$A$1001,customers!$C$2:$C$1001,,))</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cm="1">
        <f t="array" ref="N853">_xlfn.IFS(I853="Rob","Robusta",I853="Exc","Excelsa",I853="Ara","Arabica",I853="Lib","Liberica")</f>
        <v>Liberica</v>
      </c>
      <c r="O853" t="str" cm="1">
        <f t="array" ref="O853">_xlfn.IFS(J853="M","Medium",J853="L","Light",J853="D","Dark")</f>
        <v>Dark</v>
      </c>
      <c r="P853" t="str">
        <f>_xlfn.XLOOKUP(Orders[[#This Row],[Customer ID]],customers!$A$1:$A$1001,customers!$I$1:$I$1001,,0)</f>
        <v>Yes</v>
      </c>
    </row>
    <row r="854" spans="1:16" x14ac:dyDescent="0.25">
      <c r="A854" s="2" t="s">
        <v>5305</v>
      </c>
      <c r="B854" s="3">
        <v>44527</v>
      </c>
      <c r="C854" s="2" t="s">
        <v>5306</v>
      </c>
      <c r="D854" t="s">
        <v>6165</v>
      </c>
      <c r="E854" s="2">
        <v>4</v>
      </c>
      <c r="F854" s="2" t="str">
        <f>_xlfn.XLOOKUP(orders!C854,customers!$A$2:$A$1001,customers!$B$2:$B$1001)</f>
        <v>Bear Gaish</v>
      </c>
      <c r="G854" s="2" t="str">
        <f>IF(_xlfn.XLOOKUP(C854,customers!$A$2:$A$1001,customers!$C$2:$C$1001,,)=0,"",_xlfn.XLOOKUP(C854,customers!$A$2:$A$1001,customers!$C$2:$C$1001,,))</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cm="1">
        <f t="array" ref="N854">_xlfn.IFS(I854="Rob","Robusta",I854="Exc","Excelsa",I854="Ara","Arabica",I854="Lib","Liberica")</f>
        <v>Liberica</v>
      </c>
      <c r="O854" t="str" cm="1">
        <f t="array" ref="O854">_xlfn.IFS(J854="M","Medium",J854="L","Light",J854="D","Dark")</f>
        <v>Dark</v>
      </c>
      <c r="P854" t="str">
        <f>_xlfn.XLOOKUP(Orders[[#This Row],[Customer ID]],customers!$A$1:$A$1001,customers!$I$1:$I$1001,,0)</f>
        <v>Yes</v>
      </c>
    </row>
    <row r="855" spans="1:16" x14ac:dyDescent="0.25">
      <c r="A855" s="2" t="s">
        <v>5310</v>
      </c>
      <c r="B855" s="3">
        <v>44259</v>
      </c>
      <c r="C855" s="2" t="s">
        <v>5311</v>
      </c>
      <c r="D855" t="s">
        <v>6147</v>
      </c>
      <c r="E855" s="2">
        <v>2</v>
      </c>
      <c r="F855" s="2" t="str">
        <f>_xlfn.XLOOKUP(orders!C855,customers!$A$2:$A$1001,customers!$B$2:$B$1001)</f>
        <v>Lynnea Danton</v>
      </c>
      <c r="G855" s="2" t="str">
        <f>IF(_xlfn.XLOOKUP(C855,customers!$A$2:$A$1001,customers!$C$2:$C$1001,,)=0,"",_xlfn.XLOOKUP(C855,customers!$A$2:$A$1001,customers!$C$2:$C$1001,,))</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cm="1">
        <f t="array" ref="N855">_xlfn.IFS(I855="Rob","Robusta",I855="Exc","Excelsa",I855="Ara","Arabica",I855="Lib","Liberica")</f>
        <v>Arabica</v>
      </c>
      <c r="O855" t="str" cm="1">
        <f t="array" ref="O855">_xlfn.IFS(J855="M","Medium",J855="L","Light",J855="D","Dark")</f>
        <v>Dark</v>
      </c>
      <c r="P855" t="str">
        <f>_xlfn.XLOOKUP(Orders[[#This Row],[Customer ID]],customers!$A$1:$A$1001,customers!$I$1:$I$1001,,0)</f>
        <v>No</v>
      </c>
    </row>
    <row r="856" spans="1:16" x14ac:dyDescent="0.25">
      <c r="A856" s="2" t="s">
        <v>5315</v>
      </c>
      <c r="B856" s="3">
        <v>44516</v>
      </c>
      <c r="C856" s="2" t="s">
        <v>5316</v>
      </c>
      <c r="D856" t="s">
        <v>6173</v>
      </c>
      <c r="E856" s="2">
        <v>5</v>
      </c>
      <c r="F856" s="2" t="str">
        <f>_xlfn.XLOOKUP(orders!C856,customers!$A$2:$A$1001,customers!$B$2:$B$1001)</f>
        <v>Skipton Morrall</v>
      </c>
      <c r="G856" s="2" t="str">
        <f>IF(_xlfn.XLOOKUP(C856,customers!$A$2:$A$1001,customers!$C$2:$C$1001,,)=0,"",_xlfn.XLOOKUP(C856,customers!$A$2:$A$1001,customers!$C$2:$C$1001,,))</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cm="1">
        <f t="array" ref="N856">_xlfn.IFS(I856="Rob","Robusta",I856="Exc","Excelsa",I856="Ara","Arabica",I856="Lib","Liberica")</f>
        <v>Robusta</v>
      </c>
      <c r="O856" t="str" cm="1">
        <f t="array" ref="O856">_xlfn.IFS(J856="M","Medium",J856="L","Light",J856="D","Dark")</f>
        <v>Light</v>
      </c>
      <c r="P856" t="str">
        <f>_xlfn.XLOOKUP(Orders[[#This Row],[Customer ID]],customers!$A$1:$A$1001,customers!$I$1:$I$1001,,0)</f>
        <v>Yes</v>
      </c>
    </row>
    <row r="857" spans="1:16" x14ac:dyDescent="0.25">
      <c r="A857" s="2" t="s">
        <v>5321</v>
      </c>
      <c r="B857" s="3">
        <v>43632</v>
      </c>
      <c r="C857" s="2" t="s">
        <v>5322</v>
      </c>
      <c r="D857" t="s">
        <v>6165</v>
      </c>
      <c r="E857" s="2">
        <v>3</v>
      </c>
      <c r="F857" s="2" t="str">
        <f>_xlfn.XLOOKUP(orders!C857,customers!$A$2:$A$1001,customers!$B$2:$B$1001)</f>
        <v>Devan Crownshaw</v>
      </c>
      <c r="G857" s="2" t="str">
        <f>IF(_xlfn.XLOOKUP(C857,customers!$A$2:$A$1001,customers!$C$2:$C$1001,,)=0,"",_xlfn.XLOOKUP(C857,customers!$A$2:$A$1001,customers!$C$2:$C$1001,,))</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cm="1">
        <f t="array" ref="N857">_xlfn.IFS(I857="Rob","Robusta",I857="Exc","Excelsa",I857="Ara","Arabica",I857="Lib","Liberica")</f>
        <v>Liberica</v>
      </c>
      <c r="O857" t="str" cm="1">
        <f t="array" ref="O857">_xlfn.IFS(J857="M","Medium",J857="L","Light",J857="D","Dark")</f>
        <v>Dark</v>
      </c>
      <c r="P857" t="str">
        <f>_xlfn.XLOOKUP(Orders[[#This Row],[Customer ID]],customers!$A$1:$A$1001,customers!$I$1:$I$1001,,0)</f>
        <v>No</v>
      </c>
    </row>
    <row r="858" spans="1:16" x14ac:dyDescent="0.25">
      <c r="A858" s="2" t="s">
        <v>5327</v>
      </c>
      <c r="B858" s="3">
        <v>44031</v>
      </c>
      <c r="C858" s="2" t="s">
        <v>5188</v>
      </c>
      <c r="D858" t="s">
        <v>6159</v>
      </c>
      <c r="E858" s="2">
        <v>2</v>
      </c>
      <c r="F858" s="2" t="str">
        <f>_xlfn.XLOOKUP(orders!C858,customers!$A$2:$A$1001,customers!$B$2:$B$1001)</f>
        <v>Odelia Skerme</v>
      </c>
      <c r="G858" s="2" t="str">
        <f>IF(_xlfn.XLOOKUP(C858,customers!$A$2:$A$1001,customers!$C$2:$C$1001,,)=0,"",_xlfn.XLOOKUP(C858,customers!$A$2:$A$1001,customers!$C$2:$C$1001,,))</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cm="1">
        <f t="array" ref="N858">_xlfn.IFS(I858="Rob","Robusta",I858="Exc","Excelsa",I858="Ara","Arabica",I858="Lib","Liberica")</f>
        <v>Liberica</v>
      </c>
      <c r="O858" t="str" cm="1">
        <f t="array" ref="O858">_xlfn.IFS(J858="M","Medium",J858="L","Light",J858="D","Dark")</f>
        <v>Medium</v>
      </c>
      <c r="P858" t="str">
        <f>_xlfn.XLOOKUP(Orders[[#This Row],[Customer ID]],customers!$A$1:$A$1001,customers!$I$1:$I$1001,,0)</f>
        <v>Yes</v>
      </c>
    </row>
    <row r="859" spans="1:16" x14ac:dyDescent="0.25">
      <c r="A859" s="2" t="s">
        <v>5333</v>
      </c>
      <c r="B859" s="3">
        <v>43889</v>
      </c>
      <c r="C859" s="2" t="s">
        <v>5334</v>
      </c>
      <c r="D859" t="s">
        <v>6142</v>
      </c>
      <c r="E859" s="2">
        <v>5</v>
      </c>
      <c r="F859" s="2" t="str">
        <f>_xlfn.XLOOKUP(orders!C859,customers!$A$2:$A$1001,customers!$B$2:$B$1001)</f>
        <v>Joceline Reddoch</v>
      </c>
      <c r="G859" s="2" t="str">
        <f>IF(_xlfn.XLOOKUP(C859,customers!$A$2:$A$1001,customers!$C$2:$C$1001,,)=0,"",_xlfn.XLOOKUP(C859,customers!$A$2:$A$1001,customers!$C$2:$C$1001,,))</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cm="1">
        <f t="array" ref="N859">_xlfn.IFS(I859="Rob","Robusta",I859="Exc","Excelsa",I859="Ara","Arabica",I859="Lib","Liberica")</f>
        <v>Robusta</v>
      </c>
      <c r="O859" t="str" cm="1">
        <f t="array" ref="O859">_xlfn.IFS(J859="M","Medium",J859="L","Light",J859="D","Dark")</f>
        <v>Light</v>
      </c>
      <c r="P859" t="str">
        <f>_xlfn.XLOOKUP(Orders[[#This Row],[Customer ID]],customers!$A$1:$A$1001,customers!$I$1:$I$1001,,0)</f>
        <v>No</v>
      </c>
    </row>
    <row r="860" spans="1:16" x14ac:dyDescent="0.25">
      <c r="A860" s="2" t="s">
        <v>5339</v>
      </c>
      <c r="B860" s="3">
        <v>43638</v>
      </c>
      <c r="C860" s="2" t="s">
        <v>5340</v>
      </c>
      <c r="D860" t="s">
        <v>6160</v>
      </c>
      <c r="E860" s="2">
        <v>4</v>
      </c>
      <c r="F860" s="2" t="str">
        <f>_xlfn.XLOOKUP(orders!C860,customers!$A$2:$A$1001,customers!$B$2:$B$1001)</f>
        <v>Shelley Titley</v>
      </c>
      <c r="G860" s="2" t="str">
        <f>IF(_xlfn.XLOOKUP(C860,customers!$A$2:$A$1001,customers!$C$2:$C$1001,,)=0,"",_xlfn.XLOOKUP(C860,customers!$A$2:$A$1001,customers!$C$2:$C$1001,,))</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cm="1">
        <f t="array" ref="N860">_xlfn.IFS(I860="Rob","Robusta",I860="Exc","Excelsa",I860="Ara","Arabica",I860="Lib","Liberica")</f>
        <v>Liberica</v>
      </c>
      <c r="O860" t="str" cm="1">
        <f t="array" ref="O860">_xlfn.IFS(J860="M","Medium",J860="L","Light",J860="D","Dark")</f>
        <v>Medium</v>
      </c>
      <c r="P860" t="str">
        <f>_xlfn.XLOOKUP(Orders[[#This Row],[Customer ID]],customers!$A$1:$A$1001,customers!$I$1:$I$1001,,0)</f>
        <v>No</v>
      </c>
    </row>
    <row r="861" spans="1:16" x14ac:dyDescent="0.25">
      <c r="A861" s="2" t="s">
        <v>5345</v>
      </c>
      <c r="B861" s="3">
        <v>43716</v>
      </c>
      <c r="C861" s="2" t="s">
        <v>5346</v>
      </c>
      <c r="D861" t="s">
        <v>6182</v>
      </c>
      <c r="E861" s="2">
        <v>6</v>
      </c>
      <c r="F861" s="2" t="str">
        <f>_xlfn.XLOOKUP(orders!C861,customers!$A$2:$A$1001,customers!$B$2:$B$1001)</f>
        <v>Redd Simao</v>
      </c>
      <c r="G861" s="2" t="str">
        <f>IF(_xlfn.XLOOKUP(C861,customers!$A$2:$A$1001,customers!$C$2:$C$1001,,)=0,"",_xlfn.XLOOKUP(C861,customers!$A$2:$A$1001,customers!$C$2:$C$1001,,))</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cm="1">
        <f t="array" ref="N861">_xlfn.IFS(I861="Rob","Robusta",I861="Exc","Excelsa",I861="Ara","Arabica",I861="Lib","Liberica")</f>
        <v>Arabica</v>
      </c>
      <c r="O861" t="str" cm="1">
        <f t="array" ref="O861">_xlfn.IFS(J861="M","Medium",J861="L","Light",J861="D","Dark")</f>
        <v>Light</v>
      </c>
      <c r="P861" t="str">
        <f>_xlfn.XLOOKUP(Orders[[#This Row],[Customer ID]],customers!$A$1:$A$1001,customers!$I$1:$I$1001,,0)</f>
        <v>No</v>
      </c>
    </row>
    <row r="862" spans="1:16" x14ac:dyDescent="0.25">
      <c r="A862" s="2" t="s">
        <v>5351</v>
      </c>
      <c r="B862" s="3">
        <v>44707</v>
      </c>
      <c r="C862" s="2" t="s">
        <v>5352</v>
      </c>
      <c r="D862" t="s">
        <v>6175</v>
      </c>
      <c r="E862" s="2">
        <v>1</v>
      </c>
      <c r="F862" s="2" t="str">
        <f>_xlfn.XLOOKUP(orders!C862,customers!$A$2:$A$1001,customers!$B$2:$B$1001)</f>
        <v>Cece Inker</v>
      </c>
      <c r="G862" s="2" t="str">
        <f>IF(_xlfn.XLOOKUP(C862,customers!$A$2:$A$1001,customers!$C$2:$C$1001,,)=0,"",_xlfn.XLOOKUP(C862,customers!$A$2:$A$1001,customers!$C$2:$C$1001,,))</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cm="1">
        <f t="array" ref="N862">_xlfn.IFS(I862="Rob","Robusta",I862="Exc","Excelsa",I862="Ara","Arabica",I862="Lib","Liberica")</f>
        <v>Arabica</v>
      </c>
      <c r="O862" t="str" cm="1">
        <f t="array" ref="O862">_xlfn.IFS(J862="M","Medium",J862="L","Light",J862="D","Dark")</f>
        <v>Medium</v>
      </c>
      <c r="P862" t="str">
        <f>_xlfn.XLOOKUP(Orders[[#This Row],[Customer ID]],customers!$A$1:$A$1001,customers!$I$1:$I$1001,,0)</f>
        <v>No</v>
      </c>
    </row>
    <row r="863" spans="1:16" x14ac:dyDescent="0.25">
      <c r="A863" s="2" t="s">
        <v>5356</v>
      </c>
      <c r="B863" s="3">
        <v>43802</v>
      </c>
      <c r="C863" s="2" t="s">
        <v>5357</v>
      </c>
      <c r="D863" t="s">
        <v>6143</v>
      </c>
      <c r="E863" s="2">
        <v>6</v>
      </c>
      <c r="F863" s="2" t="str">
        <f>_xlfn.XLOOKUP(orders!C863,customers!$A$2:$A$1001,customers!$B$2:$B$1001)</f>
        <v>Noel Chisholm</v>
      </c>
      <c r="G863" s="2" t="str">
        <f>IF(_xlfn.XLOOKUP(C863,customers!$A$2:$A$1001,customers!$C$2:$C$1001,,)=0,"",_xlfn.XLOOKUP(C863,customers!$A$2:$A$1001,customers!$C$2:$C$1001,,))</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cm="1">
        <f t="array" ref="N863">_xlfn.IFS(I863="Rob","Robusta",I863="Exc","Excelsa",I863="Ara","Arabica",I863="Lib","Liberica")</f>
        <v>Liberica</v>
      </c>
      <c r="O863" t="str" cm="1">
        <f t="array" ref="O863">_xlfn.IFS(J863="M","Medium",J863="L","Light",J863="D","Dark")</f>
        <v>Dark</v>
      </c>
      <c r="P863" t="str">
        <f>_xlfn.XLOOKUP(Orders[[#This Row],[Customer ID]],customers!$A$1:$A$1001,customers!$I$1:$I$1001,,0)</f>
        <v>Yes</v>
      </c>
    </row>
    <row r="864" spans="1:16" x14ac:dyDescent="0.25">
      <c r="A864" s="2" t="s">
        <v>5362</v>
      </c>
      <c r="B864" s="3">
        <v>43725</v>
      </c>
      <c r="C864" s="2" t="s">
        <v>5363</v>
      </c>
      <c r="D864" t="s">
        <v>6138</v>
      </c>
      <c r="E864" s="2">
        <v>1</v>
      </c>
      <c r="F864" s="2" t="str">
        <f>_xlfn.XLOOKUP(orders!C864,customers!$A$2:$A$1001,customers!$B$2:$B$1001)</f>
        <v>Grazia Oats</v>
      </c>
      <c r="G864" s="2" t="str">
        <f>IF(_xlfn.XLOOKUP(C864,customers!$A$2:$A$1001,customers!$C$2:$C$1001,,)=0,"",_xlfn.XLOOKUP(C864,customers!$A$2:$A$1001,customers!$C$2:$C$1001,,))</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cm="1">
        <f t="array" ref="N864">_xlfn.IFS(I864="Rob","Robusta",I864="Exc","Excelsa",I864="Ara","Arabica",I864="Lib","Liberica")</f>
        <v>Robusta</v>
      </c>
      <c r="O864" t="str" cm="1">
        <f t="array" ref="O864">_xlfn.IFS(J864="M","Medium",J864="L","Light",J864="D","Dark")</f>
        <v>Medium</v>
      </c>
      <c r="P864" t="str">
        <f>_xlfn.XLOOKUP(Orders[[#This Row],[Customer ID]],customers!$A$1:$A$1001,customers!$I$1:$I$1001,,0)</f>
        <v>Yes</v>
      </c>
    </row>
    <row r="865" spans="1:16" x14ac:dyDescent="0.25">
      <c r="A865" s="2" t="s">
        <v>5368</v>
      </c>
      <c r="B865" s="3">
        <v>44712</v>
      </c>
      <c r="C865" s="2" t="s">
        <v>5369</v>
      </c>
      <c r="D865" t="s">
        <v>6162</v>
      </c>
      <c r="E865" s="2">
        <v>2</v>
      </c>
      <c r="F865" s="2" t="str">
        <f>_xlfn.XLOOKUP(orders!C865,customers!$A$2:$A$1001,customers!$B$2:$B$1001)</f>
        <v>Meade Birkin</v>
      </c>
      <c r="G865" s="2" t="str">
        <f>IF(_xlfn.XLOOKUP(C865,customers!$A$2:$A$1001,customers!$C$2:$C$1001,,)=0,"",_xlfn.XLOOKUP(C865,customers!$A$2:$A$1001,customers!$C$2:$C$1001,,))</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cm="1">
        <f t="array" ref="N865">_xlfn.IFS(I865="Rob","Robusta",I865="Exc","Excelsa",I865="Ara","Arabica",I865="Lib","Liberica")</f>
        <v>Liberica</v>
      </c>
      <c r="O865" t="str" cm="1">
        <f t="array" ref="O865">_xlfn.IFS(J865="M","Medium",J865="L","Light",J865="D","Dark")</f>
        <v>Medium</v>
      </c>
      <c r="P865" t="str">
        <f>_xlfn.XLOOKUP(Orders[[#This Row],[Customer ID]],customers!$A$1:$A$1001,customers!$I$1:$I$1001,,0)</f>
        <v>Yes</v>
      </c>
    </row>
    <row r="866" spans="1:16" x14ac:dyDescent="0.25">
      <c r="A866" s="2" t="s">
        <v>5374</v>
      </c>
      <c r="B866" s="3">
        <v>43759</v>
      </c>
      <c r="C866" s="2" t="s">
        <v>5375</v>
      </c>
      <c r="D866" t="s">
        <v>6178</v>
      </c>
      <c r="E866" s="2">
        <v>6</v>
      </c>
      <c r="F866" s="2" t="str">
        <f>_xlfn.XLOOKUP(orders!C866,customers!$A$2:$A$1001,customers!$B$2:$B$1001)</f>
        <v>Ronda Pyson</v>
      </c>
      <c r="G866" s="2" t="str">
        <f>IF(_xlfn.XLOOKUP(C866,customers!$A$2:$A$1001,customers!$C$2:$C$1001,,)=0,"",_xlfn.XLOOKUP(C866,customers!$A$2:$A$1001,customers!$C$2:$C$1001,,))</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cm="1">
        <f t="array" ref="N866">_xlfn.IFS(I866="Rob","Robusta",I866="Exc","Excelsa",I866="Ara","Arabica",I866="Lib","Liberica")</f>
        <v>Robusta</v>
      </c>
      <c r="O866" t="str" cm="1">
        <f t="array" ref="O866">_xlfn.IFS(J866="M","Medium",J866="L","Light",J866="D","Dark")</f>
        <v>Light</v>
      </c>
      <c r="P866" t="str">
        <f>_xlfn.XLOOKUP(Orders[[#This Row],[Customer ID]],customers!$A$1:$A$1001,customers!$I$1:$I$1001,,0)</f>
        <v>No</v>
      </c>
    </row>
    <row r="867" spans="1:16" x14ac:dyDescent="0.25">
      <c r="A867" s="2" t="s">
        <v>5380</v>
      </c>
      <c r="B867" s="3">
        <v>44675</v>
      </c>
      <c r="C867" s="2" t="s">
        <v>5428</v>
      </c>
      <c r="D867" t="s">
        <v>6157</v>
      </c>
      <c r="E867" s="2">
        <v>1</v>
      </c>
      <c r="F867" s="2" t="str">
        <f>_xlfn.XLOOKUP(orders!C867,customers!$A$2:$A$1001,customers!$B$2:$B$1001)</f>
        <v>Modesty MacConnechie</v>
      </c>
      <c r="G867" s="2" t="str">
        <f>IF(_xlfn.XLOOKUP(C867,customers!$A$2:$A$1001,customers!$C$2:$C$1001,,)=0,"",_xlfn.XLOOKUP(C867,customers!$A$2:$A$1001,customers!$C$2:$C$1001,,))</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cm="1">
        <f t="array" ref="N867">_xlfn.IFS(I867="Rob","Robusta",I867="Exc","Excelsa",I867="Ara","Arabica",I867="Lib","Liberica")</f>
        <v>Arabica</v>
      </c>
      <c r="O867" t="str" cm="1">
        <f t="array" ref="O867">_xlfn.IFS(J867="M","Medium",J867="L","Light",J867="D","Dark")</f>
        <v>Medium</v>
      </c>
      <c r="P867" t="str">
        <f>_xlfn.XLOOKUP(Orders[[#This Row],[Customer ID]],customers!$A$1:$A$1001,customers!$I$1:$I$1001,,0)</f>
        <v>Yes</v>
      </c>
    </row>
    <row r="868" spans="1:16" x14ac:dyDescent="0.25">
      <c r="A868" s="2" t="s">
        <v>5385</v>
      </c>
      <c r="B868" s="3">
        <v>44209</v>
      </c>
      <c r="C868" s="2" t="s">
        <v>5386</v>
      </c>
      <c r="D868" t="s">
        <v>6158</v>
      </c>
      <c r="E868" s="2">
        <v>3</v>
      </c>
      <c r="F868" s="2" t="str">
        <f>_xlfn.XLOOKUP(orders!C868,customers!$A$2:$A$1001,customers!$B$2:$B$1001)</f>
        <v>Rafaela Treacher</v>
      </c>
      <c r="G868" s="2" t="str">
        <f>IF(_xlfn.XLOOKUP(C868,customers!$A$2:$A$1001,customers!$C$2:$C$1001,,)=0,"",_xlfn.XLOOKUP(C868,customers!$A$2:$A$1001,customers!$C$2:$C$1001,,))</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cm="1">
        <f t="array" ref="N868">_xlfn.IFS(I868="Rob","Robusta",I868="Exc","Excelsa",I868="Ara","Arabica",I868="Lib","Liberica")</f>
        <v>Arabica</v>
      </c>
      <c r="O868" t="str" cm="1">
        <f t="array" ref="O868">_xlfn.IFS(J868="M","Medium",J868="L","Light",J868="D","Dark")</f>
        <v>Dark</v>
      </c>
      <c r="P868" t="str">
        <f>_xlfn.XLOOKUP(Orders[[#This Row],[Customer ID]],customers!$A$1:$A$1001,customers!$I$1:$I$1001,,0)</f>
        <v>No</v>
      </c>
    </row>
    <row r="869" spans="1:16" x14ac:dyDescent="0.25">
      <c r="A869" s="2" t="s">
        <v>5391</v>
      </c>
      <c r="B869" s="3">
        <v>44792</v>
      </c>
      <c r="C869" s="2" t="s">
        <v>5392</v>
      </c>
      <c r="D869" t="s">
        <v>6182</v>
      </c>
      <c r="E869" s="2">
        <v>1</v>
      </c>
      <c r="F869" s="2" t="str">
        <f>_xlfn.XLOOKUP(orders!C869,customers!$A$2:$A$1001,customers!$B$2:$B$1001)</f>
        <v>Bee Fattorini</v>
      </c>
      <c r="G869" s="2" t="str">
        <f>IF(_xlfn.XLOOKUP(C869,customers!$A$2:$A$1001,customers!$C$2:$C$1001,,)=0,"",_xlfn.XLOOKUP(C869,customers!$A$2:$A$1001,customers!$C$2:$C$1001,,))</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cm="1">
        <f t="array" ref="N869">_xlfn.IFS(I869="Rob","Robusta",I869="Exc","Excelsa",I869="Ara","Arabica",I869="Lib","Liberica")</f>
        <v>Arabica</v>
      </c>
      <c r="O869" t="str" cm="1">
        <f t="array" ref="O869">_xlfn.IFS(J869="M","Medium",J869="L","Light",J869="D","Dark")</f>
        <v>Light</v>
      </c>
      <c r="P869" t="str">
        <f>_xlfn.XLOOKUP(Orders[[#This Row],[Customer ID]],customers!$A$1:$A$1001,customers!$I$1:$I$1001,,0)</f>
        <v>Yes</v>
      </c>
    </row>
    <row r="870" spans="1:16" x14ac:dyDescent="0.25">
      <c r="A870" s="2" t="s">
        <v>5396</v>
      </c>
      <c r="B870" s="3">
        <v>43526</v>
      </c>
      <c r="C870" s="2" t="s">
        <v>5397</v>
      </c>
      <c r="D870" t="s">
        <v>6139</v>
      </c>
      <c r="E870" s="2">
        <v>5</v>
      </c>
      <c r="F870" s="2" t="str">
        <f>_xlfn.XLOOKUP(orders!C870,customers!$A$2:$A$1001,customers!$B$2:$B$1001)</f>
        <v>Margie Palleske</v>
      </c>
      <c r="G870" s="2" t="str">
        <f>IF(_xlfn.XLOOKUP(C870,customers!$A$2:$A$1001,customers!$C$2:$C$1001,,)=0,"",_xlfn.XLOOKUP(C870,customers!$A$2:$A$1001,customers!$C$2:$C$1001,,))</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cm="1">
        <f t="array" ref="N870">_xlfn.IFS(I870="Rob","Robusta",I870="Exc","Excelsa",I870="Ara","Arabica",I870="Lib","Liberica")</f>
        <v>Excelsa</v>
      </c>
      <c r="O870" t="str" cm="1">
        <f t="array" ref="O870">_xlfn.IFS(J870="M","Medium",J870="L","Light",J870="D","Dark")</f>
        <v>Medium</v>
      </c>
      <c r="P870" t="str">
        <f>_xlfn.XLOOKUP(Orders[[#This Row],[Customer ID]],customers!$A$1:$A$1001,customers!$I$1:$I$1001,,0)</f>
        <v>Yes</v>
      </c>
    </row>
    <row r="871" spans="1:16" x14ac:dyDescent="0.25">
      <c r="A871" s="2" t="s">
        <v>5402</v>
      </c>
      <c r="B871" s="3">
        <v>43851</v>
      </c>
      <c r="C871" s="2" t="s">
        <v>5403</v>
      </c>
      <c r="D871" t="s">
        <v>6146</v>
      </c>
      <c r="E871" s="2">
        <v>3</v>
      </c>
      <c r="F871" s="2" t="str">
        <f>_xlfn.XLOOKUP(orders!C871,customers!$A$2:$A$1001,customers!$B$2:$B$1001)</f>
        <v>Alexina Randals</v>
      </c>
      <c r="G871" s="2" t="str">
        <f>IF(_xlfn.XLOOKUP(C871,customers!$A$2:$A$1001,customers!$C$2:$C$1001,,)=0,"",_xlfn.XLOOKUP(C871,customers!$A$2:$A$1001,customers!$C$2:$C$1001,,))</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cm="1">
        <f t="array" ref="N871">_xlfn.IFS(I871="Rob","Robusta",I871="Exc","Excelsa",I871="Ara","Arabica",I871="Lib","Liberica")</f>
        <v>Robusta</v>
      </c>
      <c r="O871" t="str" cm="1">
        <f t="array" ref="O871">_xlfn.IFS(J871="M","Medium",J871="L","Light",J871="D","Dark")</f>
        <v>Medium</v>
      </c>
      <c r="P871" t="str">
        <f>_xlfn.XLOOKUP(Orders[[#This Row],[Customer ID]],customers!$A$1:$A$1001,customers!$I$1:$I$1001,,0)</f>
        <v>Yes</v>
      </c>
    </row>
    <row r="872" spans="1:16" x14ac:dyDescent="0.25">
      <c r="A872" s="2" t="s">
        <v>5407</v>
      </c>
      <c r="B872" s="3">
        <v>44460</v>
      </c>
      <c r="C872" s="2" t="s">
        <v>5408</v>
      </c>
      <c r="D872" t="s">
        <v>6144</v>
      </c>
      <c r="E872" s="2">
        <v>1</v>
      </c>
      <c r="F872" s="2" t="str">
        <f>_xlfn.XLOOKUP(orders!C872,customers!$A$2:$A$1001,customers!$B$2:$B$1001)</f>
        <v>Filip Antcliffe</v>
      </c>
      <c r="G872" s="2" t="str">
        <f>IF(_xlfn.XLOOKUP(C872,customers!$A$2:$A$1001,customers!$C$2:$C$1001,,)=0,"",_xlfn.XLOOKUP(C872,customers!$A$2:$A$1001,customers!$C$2:$C$1001,,))</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cm="1">
        <f t="array" ref="N872">_xlfn.IFS(I872="Rob","Robusta",I872="Exc","Excelsa",I872="Ara","Arabica",I872="Lib","Liberica")</f>
        <v>Excelsa</v>
      </c>
      <c r="O872" t="str" cm="1">
        <f t="array" ref="O872">_xlfn.IFS(J872="M","Medium",J872="L","Light",J872="D","Dark")</f>
        <v>Dark</v>
      </c>
      <c r="P872" t="str">
        <f>_xlfn.XLOOKUP(Orders[[#This Row],[Customer ID]],customers!$A$1:$A$1001,customers!$I$1:$I$1001,,0)</f>
        <v>Yes</v>
      </c>
    </row>
    <row r="873" spans="1:16" x14ac:dyDescent="0.25">
      <c r="A873" s="2" t="s">
        <v>5413</v>
      </c>
      <c r="B873" s="3">
        <v>43707</v>
      </c>
      <c r="C873" s="2" t="s">
        <v>5414</v>
      </c>
      <c r="D873" t="s">
        <v>6171</v>
      </c>
      <c r="E873" s="2">
        <v>2</v>
      </c>
      <c r="F873" s="2" t="str">
        <f>_xlfn.XLOOKUP(orders!C873,customers!$A$2:$A$1001,customers!$B$2:$B$1001)</f>
        <v>Peyter Matignon</v>
      </c>
      <c r="G873" s="2" t="str">
        <f>IF(_xlfn.XLOOKUP(C873,customers!$A$2:$A$1001,customers!$C$2:$C$1001,,)=0,"",_xlfn.XLOOKUP(C873,customers!$A$2:$A$1001,customers!$C$2:$C$1001,,))</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cm="1">
        <f t="array" ref="N873">_xlfn.IFS(I873="Rob","Robusta",I873="Exc","Excelsa",I873="Ara","Arabica",I873="Lib","Liberica")</f>
        <v>Excelsa</v>
      </c>
      <c r="O873" t="str" cm="1">
        <f t="array" ref="O873">_xlfn.IFS(J873="M","Medium",J873="L","Light",J873="D","Dark")</f>
        <v>Light</v>
      </c>
      <c r="P873" t="str">
        <f>_xlfn.XLOOKUP(Orders[[#This Row],[Customer ID]],customers!$A$1:$A$1001,customers!$I$1:$I$1001,,0)</f>
        <v>Yes</v>
      </c>
    </row>
    <row r="874" spans="1:16" x14ac:dyDescent="0.25">
      <c r="A874" s="2" t="s">
        <v>5421</v>
      </c>
      <c r="B874" s="3">
        <v>43521</v>
      </c>
      <c r="C874" s="2" t="s">
        <v>5422</v>
      </c>
      <c r="D874" t="s">
        <v>6155</v>
      </c>
      <c r="E874" s="2">
        <v>2</v>
      </c>
      <c r="F874" s="2" t="str">
        <f>_xlfn.XLOOKUP(orders!C874,customers!$A$2:$A$1001,customers!$B$2:$B$1001)</f>
        <v>Claudie Weond</v>
      </c>
      <c r="G874" s="2" t="str">
        <f>IF(_xlfn.XLOOKUP(C874,customers!$A$2:$A$1001,customers!$C$2:$C$1001,,)=0,"",_xlfn.XLOOKUP(C874,customers!$A$2:$A$1001,customers!$C$2:$C$1001,,))</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cm="1">
        <f t="array" ref="N874">_xlfn.IFS(I874="Rob","Robusta",I874="Exc","Excelsa",I874="Ara","Arabica",I874="Lib","Liberica")</f>
        <v>Arabica</v>
      </c>
      <c r="O874" t="str" cm="1">
        <f t="array" ref="O874">_xlfn.IFS(J874="M","Medium",J874="L","Light",J874="D","Dark")</f>
        <v>Medium</v>
      </c>
      <c r="P874" t="str">
        <f>_xlfn.XLOOKUP(Orders[[#This Row],[Customer ID]],customers!$A$1:$A$1001,customers!$I$1:$I$1001,,0)</f>
        <v>No</v>
      </c>
    </row>
    <row r="875" spans="1:16" x14ac:dyDescent="0.25">
      <c r="A875" s="2" t="s">
        <v>5427</v>
      </c>
      <c r="B875" s="3">
        <v>43725</v>
      </c>
      <c r="C875" s="2" t="s">
        <v>5428</v>
      </c>
      <c r="D875" t="s">
        <v>6174</v>
      </c>
      <c r="E875" s="2">
        <v>4</v>
      </c>
      <c r="F875" s="2" t="str">
        <f>_xlfn.XLOOKUP(orders!C875,customers!$A$2:$A$1001,customers!$B$2:$B$1001)</f>
        <v>Modesty MacConnechie</v>
      </c>
      <c r="G875" s="2" t="str">
        <f>IF(_xlfn.XLOOKUP(C875,customers!$A$2:$A$1001,customers!$C$2:$C$1001,,)=0,"",_xlfn.XLOOKUP(C875,customers!$A$2:$A$1001,customers!$C$2:$C$1001,,))</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cm="1">
        <f t="array" ref="N875">_xlfn.IFS(I875="Rob","Robusta",I875="Exc","Excelsa",I875="Ara","Arabica",I875="Lib","Liberica")</f>
        <v>Robusta</v>
      </c>
      <c r="O875" t="str" cm="1">
        <f t="array" ref="O875">_xlfn.IFS(J875="M","Medium",J875="L","Light",J875="D","Dark")</f>
        <v>Medium</v>
      </c>
      <c r="P875" t="str">
        <f>_xlfn.XLOOKUP(Orders[[#This Row],[Customer ID]],customers!$A$1:$A$1001,customers!$I$1:$I$1001,,0)</f>
        <v>Yes</v>
      </c>
    </row>
    <row r="876" spans="1:16" x14ac:dyDescent="0.25">
      <c r="A876" s="2" t="s">
        <v>5433</v>
      </c>
      <c r="B876" s="3">
        <v>43680</v>
      </c>
      <c r="C876" s="2" t="s">
        <v>5434</v>
      </c>
      <c r="D876" t="s">
        <v>6140</v>
      </c>
      <c r="E876" s="2">
        <v>2</v>
      </c>
      <c r="F876" s="2" t="str">
        <f>_xlfn.XLOOKUP(orders!C876,customers!$A$2:$A$1001,customers!$B$2:$B$1001)</f>
        <v>Jaquenette Skentelbery</v>
      </c>
      <c r="G876" s="2" t="str">
        <f>IF(_xlfn.XLOOKUP(C876,customers!$A$2:$A$1001,customers!$C$2:$C$1001,,)=0,"",_xlfn.XLOOKUP(C876,customers!$A$2:$A$1001,customers!$C$2:$C$1001,,))</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cm="1">
        <f t="array" ref="N876">_xlfn.IFS(I876="Rob","Robusta",I876="Exc","Excelsa",I876="Ara","Arabica",I876="Lib","Liberica")</f>
        <v>Arabica</v>
      </c>
      <c r="O876" t="str" cm="1">
        <f t="array" ref="O876">_xlfn.IFS(J876="M","Medium",J876="L","Light",J876="D","Dark")</f>
        <v>Light</v>
      </c>
      <c r="P876" t="str">
        <f>_xlfn.XLOOKUP(Orders[[#This Row],[Customer ID]],customers!$A$1:$A$1001,customers!$I$1:$I$1001,,0)</f>
        <v>No</v>
      </c>
    </row>
    <row r="877" spans="1:16" x14ac:dyDescent="0.25">
      <c r="A877" s="2" t="s">
        <v>5439</v>
      </c>
      <c r="B877" s="3">
        <v>44253</v>
      </c>
      <c r="C877" s="2" t="s">
        <v>5440</v>
      </c>
      <c r="D877" t="s">
        <v>6160</v>
      </c>
      <c r="E877" s="2">
        <v>5</v>
      </c>
      <c r="F877" s="2" t="str">
        <f>_xlfn.XLOOKUP(orders!C877,customers!$A$2:$A$1001,customers!$B$2:$B$1001)</f>
        <v>Orazio Comber</v>
      </c>
      <c r="G877" s="2" t="str">
        <f>IF(_xlfn.XLOOKUP(C877,customers!$A$2:$A$1001,customers!$C$2:$C$1001,,)=0,"",_xlfn.XLOOKUP(C877,customers!$A$2:$A$1001,customers!$C$2:$C$1001,,))</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cm="1">
        <f t="array" ref="N877">_xlfn.IFS(I877="Rob","Robusta",I877="Exc","Excelsa",I877="Ara","Arabica",I877="Lib","Liberica")</f>
        <v>Liberica</v>
      </c>
      <c r="O877" t="str" cm="1">
        <f t="array" ref="O877">_xlfn.IFS(J877="M","Medium",J877="L","Light",J877="D","Dark")</f>
        <v>Medium</v>
      </c>
      <c r="P877" t="str">
        <f>_xlfn.XLOOKUP(Orders[[#This Row],[Customer ID]],customers!$A$1:$A$1001,customers!$I$1:$I$1001,,0)</f>
        <v>No</v>
      </c>
    </row>
    <row r="878" spans="1:16" x14ac:dyDescent="0.25">
      <c r="A878" s="2" t="s">
        <v>5439</v>
      </c>
      <c r="B878" s="3">
        <v>44253</v>
      </c>
      <c r="C878" s="2" t="s">
        <v>5440</v>
      </c>
      <c r="D878" t="s">
        <v>6180</v>
      </c>
      <c r="E878" s="2">
        <v>6</v>
      </c>
      <c r="F878" s="2" t="str">
        <f>_xlfn.XLOOKUP(orders!C878,customers!$A$2:$A$1001,customers!$B$2:$B$1001)</f>
        <v>Orazio Comber</v>
      </c>
      <c r="G878" s="2" t="str">
        <f>IF(_xlfn.XLOOKUP(C878,customers!$A$2:$A$1001,customers!$C$2:$C$1001,,)=0,"",_xlfn.XLOOKUP(C878,customers!$A$2:$A$1001,customers!$C$2:$C$1001,,))</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cm="1">
        <f t="array" ref="N878">_xlfn.IFS(I878="Rob","Robusta",I878="Exc","Excelsa",I878="Ara","Arabica",I878="Lib","Liberica")</f>
        <v>Arabica</v>
      </c>
      <c r="O878" t="str" cm="1">
        <f t="array" ref="O878">_xlfn.IFS(J878="M","Medium",J878="L","Light",J878="D","Dark")</f>
        <v>Light</v>
      </c>
      <c r="P878" t="str">
        <f>_xlfn.XLOOKUP(Orders[[#This Row],[Customer ID]],customers!$A$1:$A$1001,customers!$I$1:$I$1001,,0)</f>
        <v>No</v>
      </c>
    </row>
    <row r="879" spans="1:16" x14ac:dyDescent="0.25">
      <c r="A879" s="2" t="s">
        <v>5450</v>
      </c>
      <c r="B879" s="3">
        <v>44411</v>
      </c>
      <c r="C879" s="2" t="s">
        <v>5451</v>
      </c>
      <c r="D879" t="s">
        <v>6161</v>
      </c>
      <c r="E879" s="2">
        <v>3</v>
      </c>
      <c r="F879" s="2" t="str">
        <f>_xlfn.XLOOKUP(orders!C879,customers!$A$2:$A$1001,customers!$B$2:$B$1001)</f>
        <v>Zachary Tramel</v>
      </c>
      <c r="G879" s="2" t="str">
        <f>IF(_xlfn.XLOOKUP(C879,customers!$A$2:$A$1001,customers!$C$2:$C$1001,,)=0,"",_xlfn.XLOOKUP(C879,customers!$A$2:$A$1001,customers!$C$2:$C$1001,,))</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cm="1">
        <f t="array" ref="N879">_xlfn.IFS(I879="Rob","Robusta",I879="Exc","Excelsa",I879="Ara","Arabica",I879="Lib","Liberica")</f>
        <v>Liberica</v>
      </c>
      <c r="O879" t="str" cm="1">
        <f t="array" ref="O879">_xlfn.IFS(J879="M","Medium",J879="L","Light",J879="D","Dark")</f>
        <v>Light</v>
      </c>
      <c r="P879" t="str">
        <f>_xlfn.XLOOKUP(Orders[[#This Row],[Customer ID]],customers!$A$1:$A$1001,customers!$I$1:$I$1001,,0)</f>
        <v>No</v>
      </c>
    </row>
    <row r="880" spans="1:16" x14ac:dyDescent="0.25">
      <c r="A880" s="2" t="s">
        <v>5456</v>
      </c>
      <c r="B880" s="3">
        <v>44323</v>
      </c>
      <c r="C880" s="2" t="s">
        <v>5457</v>
      </c>
      <c r="D880" t="s">
        <v>6142</v>
      </c>
      <c r="E880" s="2">
        <v>1</v>
      </c>
      <c r="F880" s="2" t="str">
        <f>_xlfn.XLOOKUP(orders!C880,customers!$A$2:$A$1001,customers!$B$2:$B$1001)</f>
        <v>Izaak Primak</v>
      </c>
      <c r="G880" s="2" t="str">
        <f>IF(_xlfn.XLOOKUP(C880,customers!$A$2:$A$1001,customers!$C$2:$C$1001,,)=0,"",_xlfn.XLOOKUP(C880,customers!$A$2:$A$1001,customers!$C$2:$C$1001,,))</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cm="1">
        <f t="array" ref="N880">_xlfn.IFS(I880="Rob","Robusta",I880="Exc","Excelsa",I880="Ara","Arabica",I880="Lib","Liberica")</f>
        <v>Robusta</v>
      </c>
      <c r="O880" t="str" cm="1">
        <f t="array" ref="O880">_xlfn.IFS(J880="M","Medium",J880="L","Light",J880="D","Dark")</f>
        <v>Light</v>
      </c>
      <c r="P880" t="str">
        <f>_xlfn.XLOOKUP(Orders[[#This Row],[Customer ID]],customers!$A$1:$A$1001,customers!$I$1:$I$1001,,0)</f>
        <v>Yes</v>
      </c>
    </row>
    <row r="881" spans="1:16" x14ac:dyDescent="0.25">
      <c r="A881" s="2" t="s">
        <v>5461</v>
      </c>
      <c r="B881" s="3">
        <v>43630</v>
      </c>
      <c r="C881" s="2" t="s">
        <v>5462</v>
      </c>
      <c r="D881" t="s">
        <v>6153</v>
      </c>
      <c r="E881" s="2">
        <v>3</v>
      </c>
      <c r="F881" s="2" t="str">
        <f>_xlfn.XLOOKUP(orders!C881,customers!$A$2:$A$1001,customers!$B$2:$B$1001)</f>
        <v>Brittani Thoresbie</v>
      </c>
      <c r="G881" s="2" t="str">
        <f>IF(_xlfn.XLOOKUP(C881,customers!$A$2:$A$1001,customers!$C$2:$C$1001,,)=0,"",_xlfn.XLOOKUP(C881,customers!$A$2:$A$1001,customers!$C$2:$C$1001,,))</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cm="1">
        <f t="array" ref="N881">_xlfn.IFS(I881="Rob","Robusta",I881="Exc","Excelsa",I881="Ara","Arabica",I881="Lib","Liberica")</f>
        <v>Excelsa</v>
      </c>
      <c r="O881" t="str" cm="1">
        <f t="array" ref="O881">_xlfn.IFS(J881="M","Medium",J881="L","Light",J881="D","Dark")</f>
        <v>Dark</v>
      </c>
      <c r="P881" t="str">
        <f>_xlfn.XLOOKUP(Orders[[#This Row],[Customer ID]],customers!$A$1:$A$1001,customers!$I$1:$I$1001,,0)</f>
        <v>No</v>
      </c>
    </row>
    <row r="882" spans="1:16" x14ac:dyDescent="0.25">
      <c r="A882" s="2" t="s">
        <v>5466</v>
      </c>
      <c r="B882" s="3">
        <v>43790</v>
      </c>
      <c r="C882" s="2" t="s">
        <v>5467</v>
      </c>
      <c r="D882" t="s">
        <v>6178</v>
      </c>
      <c r="E882" s="2">
        <v>2</v>
      </c>
      <c r="F882" s="2" t="str">
        <f>_xlfn.XLOOKUP(orders!C882,customers!$A$2:$A$1001,customers!$B$2:$B$1001)</f>
        <v>Constanta Hatfull</v>
      </c>
      <c r="G882" s="2" t="str">
        <f>IF(_xlfn.XLOOKUP(C882,customers!$A$2:$A$1001,customers!$C$2:$C$1001,,)=0,"",_xlfn.XLOOKUP(C882,customers!$A$2:$A$1001,customers!$C$2:$C$1001,,))</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cm="1">
        <f t="array" ref="N882">_xlfn.IFS(I882="Rob","Robusta",I882="Exc","Excelsa",I882="Ara","Arabica",I882="Lib","Liberica")</f>
        <v>Robusta</v>
      </c>
      <c r="O882" t="str" cm="1">
        <f t="array" ref="O882">_xlfn.IFS(J882="M","Medium",J882="L","Light",J882="D","Dark")</f>
        <v>Light</v>
      </c>
      <c r="P882" t="str">
        <f>_xlfn.XLOOKUP(Orders[[#This Row],[Customer ID]],customers!$A$1:$A$1001,customers!$I$1:$I$1001,,0)</f>
        <v>No</v>
      </c>
    </row>
    <row r="883" spans="1:16" x14ac:dyDescent="0.25">
      <c r="A883" s="2" t="s">
        <v>5472</v>
      </c>
      <c r="B883" s="3">
        <v>44286</v>
      </c>
      <c r="C883" s="2" t="s">
        <v>5473</v>
      </c>
      <c r="D883" t="s">
        <v>6167</v>
      </c>
      <c r="E883" s="2">
        <v>6</v>
      </c>
      <c r="F883" s="2" t="str">
        <f>_xlfn.XLOOKUP(orders!C883,customers!$A$2:$A$1001,customers!$B$2:$B$1001)</f>
        <v>Bobbe Castagneto</v>
      </c>
      <c r="G883" s="2" t="str">
        <f>IF(_xlfn.XLOOKUP(C883,customers!$A$2:$A$1001,customers!$C$2:$C$1001,,)=0,"",_xlfn.XLOOKUP(C883,customers!$A$2:$A$1001,customers!$C$2:$C$1001,,))</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cm="1">
        <f t="array" ref="N883">_xlfn.IFS(I883="Rob","Robusta",I883="Exc","Excelsa",I883="Ara","Arabica",I883="Lib","Liberica")</f>
        <v>Arabica</v>
      </c>
      <c r="O883" t="str" cm="1">
        <f t="array" ref="O883">_xlfn.IFS(J883="M","Medium",J883="L","Light",J883="D","Dark")</f>
        <v>Light</v>
      </c>
      <c r="P883" t="str">
        <f>_xlfn.XLOOKUP(Orders[[#This Row],[Customer ID]],customers!$A$1:$A$1001,customers!$I$1:$I$1001,,0)</f>
        <v>Yes</v>
      </c>
    </row>
    <row r="884" spans="1:16" x14ac:dyDescent="0.25">
      <c r="A884" s="2" t="s">
        <v>5477</v>
      </c>
      <c r="B884" s="3">
        <v>43647</v>
      </c>
      <c r="C884" s="2" t="s">
        <v>5526</v>
      </c>
      <c r="D884" t="s">
        <v>6168</v>
      </c>
      <c r="E884" s="2">
        <v>5</v>
      </c>
      <c r="F884" s="2" t="str">
        <f>_xlfn.XLOOKUP(orders!C884,customers!$A$2:$A$1001,customers!$B$2:$B$1001)</f>
        <v>Kippie Marrison</v>
      </c>
      <c r="G884" s="2" t="str">
        <f>IF(_xlfn.XLOOKUP(C884,customers!$A$2:$A$1001,customers!$C$2:$C$1001,,)=0,"",_xlfn.XLOOKUP(C884,customers!$A$2:$A$1001,customers!$C$2:$C$1001,,))</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cm="1">
        <f t="array" ref="N884">_xlfn.IFS(I884="Rob","Robusta",I884="Exc","Excelsa",I884="Ara","Arabica",I884="Lib","Liberica")</f>
        <v>Arabica</v>
      </c>
      <c r="O884" t="str" cm="1">
        <f t="array" ref="O884">_xlfn.IFS(J884="M","Medium",J884="L","Light",J884="D","Dark")</f>
        <v>Dark</v>
      </c>
      <c r="P884" t="str">
        <f>_xlfn.XLOOKUP(Orders[[#This Row],[Customer ID]],customers!$A$1:$A$1001,customers!$I$1:$I$1001,,0)</f>
        <v>Yes</v>
      </c>
    </row>
    <row r="885" spans="1:16" x14ac:dyDescent="0.25">
      <c r="A885" s="2" t="s">
        <v>5483</v>
      </c>
      <c r="B885" s="3">
        <v>43956</v>
      </c>
      <c r="C885" s="2" t="s">
        <v>5484</v>
      </c>
      <c r="D885" t="s">
        <v>6175</v>
      </c>
      <c r="E885" s="2">
        <v>3</v>
      </c>
      <c r="F885" s="2" t="str">
        <f>_xlfn.XLOOKUP(orders!C885,customers!$A$2:$A$1001,customers!$B$2:$B$1001)</f>
        <v>Lindon Agnolo</v>
      </c>
      <c r="G885" s="2" t="str">
        <f>IF(_xlfn.XLOOKUP(C885,customers!$A$2:$A$1001,customers!$C$2:$C$1001,,)=0,"",_xlfn.XLOOKUP(C885,customers!$A$2:$A$1001,customers!$C$2:$C$1001,,))</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cm="1">
        <f t="array" ref="N885">_xlfn.IFS(I885="Rob","Robusta",I885="Exc","Excelsa",I885="Ara","Arabica",I885="Lib","Liberica")</f>
        <v>Arabica</v>
      </c>
      <c r="O885" t="str" cm="1">
        <f t="array" ref="O885">_xlfn.IFS(J885="M","Medium",J885="L","Light",J885="D","Dark")</f>
        <v>Medium</v>
      </c>
      <c r="P885" t="str">
        <f>_xlfn.XLOOKUP(Orders[[#This Row],[Customer ID]],customers!$A$1:$A$1001,customers!$I$1:$I$1001,,0)</f>
        <v>Yes</v>
      </c>
    </row>
    <row r="886" spans="1:16" x14ac:dyDescent="0.25">
      <c r="A886" s="2" t="s">
        <v>5489</v>
      </c>
      <c r="B886" s="3">
        <v>43941</v>
      </c>
      <c r="C886" s="2" t="s">
        <v>5490</v>
      </c>
      <c r="D886" t="s">
        <v>6172</v>
      </c>
      <c r="E886" s="2">
        <v>1</v>
      </c>
      <c r="F886" s="2" t="str">
        <f>_xlfn.XLOOKUP(orders!C886,customers!$A$2:$A$1001,customers!$B$2:$B$1001)</f>
        <v>Delainey Kiddy</v>
      </c>
      <c r="G886" s="2" t="str">
        <f>IF(_xlfn.XLOOKUP(C886,customers!$A$2:$A$1001,customers!$C$2:$C$1001,,)=0,"",_xlfn.XLOOKUP(C886,customers!$A$2:$A$1001,customers!$C$2:$C$1001,,))</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cm="1">
        <f t="array" ref="N886">_xlfn.IFS(I886="Rob","Robusta",I886="Exc","Excelsa",I886="Ara","Arabica",I886="Lib","Liberica")</f>
        <v>Robusta</v>
      </c>
      <c r="O886" t="str" cm="1">
        <f t="array" ref="O886">_xlfn.IFS(J886="M","Medium",J886="L","Light",J886="D","Dark")</f>
        <v>Dark</v>
      </c>
      <c r="P886" t="str">
        <f>_xlfn.XLOOKUP(Orders[[#This Row],[Customer ID]],customers!$A$1:$A$1001,customers!$I$1:$I$1001,,0)</f>
        <v>Yes</v>
      </c>
    </row>
    <row r="887" spans="1:16" x14ac:dyDescent="0.25">
      <c r="A887" s="2" t="s">
        <v>5495</v>
      </c>
      <c r="B887" s="3">
        <v>43664</v>
      </c>
      <c r="C887" s="2" t="s">
        <v>5496</v>
      </c>
      <c r="D887" t="s">
        <v>6149</v>
      </c>
      <c r="E887" s="2">
        <v>6</v>
      </c>
      <c r="F887" s="2" t="str">
        <f>_xlfn.XLOOKUP(orders!C887,customers!$A$2:$A$1001,customers!$B$2:$B$1001)</f>
        <v>Helli Petroulis</v>
      </c>
      <c r="G887" s="2" t="str">
        <f>IF(_xlfn.XLOOKUP(C887,customers!$A$2:$A$1001,customers!$C$2:$C$1001,,)=0,"",_xlfn.XLOOKUP(C887,customers!$A$2:$A$1001,customers!$C$2:$C$1001,,))</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cm="1">
        <f t="array" ref="N887">_xlfn.IFS(I887="Rob","Robusta",I887="Exc","Excelsa",I887="Ara","Arabica",I887="Lib","Liberica")</f>
        <v>Robusta</v>
      </c>
      <c r="O887" t="str" cm="1">
        <f t="array" ref="O887">_xlfn.IFS(J887="M","Medium",J887="L","Light",J887="D","Dark")</f>
        <v>Dark</v>
      </c>
      <c r="P887" t="str">
        <f>_xlfn.XLOOKUP(Orders[[#This Row],[Customer ID]],customers!$A$1:$A$1001,customers!$I$1:$I$1001,,0)</f>
        <v>No</v>
      </c>
    </row>
    <row r="888" spans="1:16" x14ac:dyDescent="0.25">
      <c r="A888" s="2" t="s">
        <v>5501</v>
      </c>
      <c r="B888" s="3">
        <v>44518</v>
      </c>
      <c r="C888" s="2" t="s">
        <v>5502</v>
      </c>
      <c r="D888" t="s">
        <v>6160</v>
      </c>
      <c r="E888" s="2">
        <v>2</v>
      </c>
      <c r="F888" s="2" t="str">
        <f>_xlfn.XLOOKUP(orders!C888,customers!$A$2:$A$1001,customers!$B$2:$B$1001)</f>
        <v>Marty Scholl</v>
      </c>
      <c r="G888" s="2" t="str">
        <f>IF(_xlfn.XLOOKUP(C888,customers!$A$2:$A$1001,customers!$C$2:$C$1001,,)=0,"",_xlfn.XLOOKUP(C888,customers!$A$2:$A$1001,customers!$C$2:$C$1001,,))</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cm="1">
        <f t="array" ref="N888">_xlfn.IFS(I888="Rob","Robusta",I888="Exc","Excelsa",I888="Ara","Arabica",I888="Lib","Liberica")</f>
        <v>Liberica</v>
      </c>
      <c r="O888" t="str" cm="1">
        <f t="array" ref="O888">_xlfn.IFS(J888="M","Medium",J888="L","Light",J888="D","Dark")</f>
        <v>Medium</v>
      </c>
      <c r="P888" t="str">
        <f>_xlfn.XLOOKUP(Orders[[#This Row],[Customer ID]],customers!$A$1:$A$1001,customers!$I$1:$I$1001,,0)</f>
        <v>No</v>
      </c>
    </row>
    <row r="889" spans="1:16" x14ac:dyDescent="0.25">
      <c r="A889" s="2" t="s">
        <v>5507</v>
      </c>
      <c r="B889" s="3">
        <v>44002</v>
      </c>
      <c r="C889" s="2" t="s">
        <v>5508</v>
      </c>
      <c r="D889" t="s">
        <v>6184</v>
      </c>
      <c r="E889" s="2">
        <v>3</v>
      </c>
      <c r="F889" s="2" t="str">
        <f>_xlfn.XLOOKUP(orders!C889,customers!$A$2:$A$1001,customers!$B$2:$B$1001)</f>
        <v>Kienan Ferson</v>
      </c>
      <c r="G889" s="2" t="str">
        <f>IF(_xlfn.XLOOKUP(C889,customers!$A$2:$A$1001,customers!$C$2:$C$1001,,)=0,"",_xlfn.XLOOKUP(C889,customers!$A$2:$A$1001,customers!$C$2:$C$1001,,))</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cm="1">
        <f t="array" ref="N889">_xlfn.IFS(I889="Rob","Robusta",I889="Exc","Excelsa",I889="Ara","Arabica",I889="Lib","Liberica")</f>
        <v>Excelsa</v>
      </c>
      <c r="O889" t="str" cm="1">
        <f t="array" ref="O889">_xlfn.IFS(J889="M","Medium",J889="L","Light",J889="D","Dark")</f>
        <v>Light</v>
      </c>
      <c r="P889" t="str">
        <f>_xlfn.XLOOKUP(Orders[[#This Row],[Customer ID]],customers!$A$1:$A$1001,customers!$I$1:$I$1001,,0)</f>
        <v>No</v>
      </c>
    </row>
    <row r="890" spans="1:16" x14ac:dyDescent="0.25">
      <c r="A890" s="2" t="s">
        <v>5513</v>
      </c>
      <c r="B890" s="3">
        <v>44292</v>
      </c>
      <c r="C890" s="2" t="s">
        <v>5514</v>
      </c>
      <c r="D890" t="s">
        <v>6167</v>
      </c>
      <c r="E890" s="2">
        <v>2</v>
      </c>
      <c r="F890" s="2" t="str">
        <f>_xlfn.XLOOKUP(orders!C890,customers!$A$2:$A$1001,customers!$B$2:$B$1001)</f>
        <v>Blake Kelloway</v>
      </c>
      <c r="G890" s="2" t="str">
        <f>IF(_xlfn.XLOOKUP(C890,customers!$A$2:$A$1001,customers!$C$2:$C$1001,,)=0,"",_xlfn.XLOOKUP(C890,customers!$A$2:$A$1001,customers!$C$2:$C$1001,,))</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cm="1">
        <f t="array" ref="N890">_xlfn.IFS(I890="Rob","Robusta",I890="Exc","Excelsa",I890="Ara","Arabica",I890="Lib","Liberica")</f>
        <v>Arabica</v>
      </c>
      <c r="O890" t="str" cm="1">
        <f t="array" ref="O890">_xlfn.IFS(J890="M","Medium",J890="L","Light",J890="D","Dark")</f>
        <v>Light</v>
      </c>
      <c r="P890" t="str">
        <f>_xlfn.XLOOKUP(Orders[[#This Row],[Customer ID]],customers!$A$1:$A$1001,customers!$I$1:$I$1001,,0)</f>
        <v>Yes</v>
      </c>
    </row>
    <row r="891" spans="1:16" x14ac:dyDescent="0.25">
      <c r="A891" s="2" t="s">
        <v>5519</v>
      </c>
      <c r="B891" s="3">
        <v>43633</v>
      </c>
      <c r="C891" s="2" t="s">
        <v>5520</v>
      </c>
      <c r="D891" t="s">
        <v>6163</v>
      </c>
      <c r="E891" s="2">
        <v>1</v>
      </c>
      <c r="F891" s="2" t="str">
        <f>_xlfn.XLOOKUP(orders!C891,customers!$A$2:$A$1001,customers!$B$2:$B$1001)</f>
        <v>Scarlett Oliffe</v>
      </c>
      <c r="G891" s="2" t="str">
        <f>IF(_xlfn.XLOOKUP(C891,customers!$A$2:$A$1001,customers!$C$2:$C$1001,,)=0,"",_xlfn.XLOOKUP(C891,customers!$A$2:$A$1001,customers!$C$2:$C$1001,,))</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cm="1">
        <f t="array" ref="N891">_xlfn.IFS(I891="Rob","Robusta",I891="Exc","Excelsa",I891="Ara","Arabica",I891="Lib","Liberica")</f>
        <v>Robusta</v>
      </c>
      <c r="O891" t="str" cm="1">
        <f t="array" ref="O891">_xlfn.IFS(J891="M","Medium",J891="L","Light",J891="D","Dark")</f>
        <v>Dark</v>
      </c>
      <c r="P891" t="str">
        <f>_xlfn.XLOOKUP(Orders[[#This Row],[Customer ID]],customers!$A$1:$A$1001,customers!$I$1:$I$1001,,0)</f>
        <v>Yes</v>
      </c>
    </row>
    <row r="892" spans="1:16" x14ac:dyDescent="0.25">
      <c r="A892" s="2" t="s">
        <v>5525</v>
      </c>
      <c r="B892" s="3">
        <v>44646</v>
      </c>
      <c r="C892" s="2" t="s">
        <v>5526</v>
      </c>
      <c r="D892" t="s">
        <v>6149</v>
      </c>
      <c r="E892" s="2">
        <v>1</v>
      </c>
      <c r="F892" s="2" t="str">
        <f>_xlfn.XLOOKUP(orders!C892,customers!$A$2:$A$1001,customers!$B$2:$B$1001)</f>
        <v>Kippie Marrison</v>
      </c>
      <c r="G892" s="2" t="str">
        <f>IF(_xlfn.XLOOKUP(C892,customers!$A$2:$A$1001,customers!$C$2:$C$1001,,)=0,"",_xlfn.XLOOKUP(C892,customers!$A$2:$A$1001,customers!$C$2:$C$1001,,))</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cm="1">
        <f t="array" ref="N892">_xlfn.IFS(I892="Rob","Robusta",I892="Exc","Excelsa",I892="Ara","Arabica",I892="Lib","Liberica")</f>
        <v>Robusta</v>
      </c>
      <c r="O892" t="str" cm="1">
        <f t="array" ref="O892">_xlfn.IFS(J892="M","Medium",J892="L","Light",J892="D","Dark")</f>
        <v>Dark</v>
      </c>
      <c r="P892" t="str">
        <f>_xlfn.XLOOKUP(Orders[[#This Row],[Customer ID]],customers!$A$1:$A$1001,customers!$I$1:$I$1001,,0)</f>
        <v>Yes</v>
      </c>
    </row>
    <row r="893" spans="1:16" x14ac:dyDescent="0.25">
      <c r="A893" s="2" t="s">
        <v>5531</v>
      </c>
      <c r="B893" s="3">
        <v>44469</v>
      </c>
      <c r="C893" s="2" t="s">
        <v>5532</v>
      </c>
      <c r="D893" t="s">
        <v>6168</v>
      </c>
      <c r="E893" s="2">
        <v>5</v>
      </c>
      <c r="F893" s="2" t="str">
        <f>_xlfn.XLOOKUP(orders!C893,customers!$A$2:$A$1001,customers!$B$2:$B$1001)</f>
        <v>Celestia Dolohunty</v>
      </c>
      <c r="G893" s="2" t="str">
        <f>IF(_xlfn.XLOOKUP(C893,customers!$A$2:$A$1001,customers!$C$2:$C$1001,,)=0,"",_xlfn.XLOOKUP(C893,customers!$A$2:$A$1001,customers!$C$2:$C$1001,,))</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cm="1">
        <f t="array" ref="N893">_xlfn.IFS(I893="Rob","Robusta",I893="Exc","Excelsa",I893="Ara","Arabica",I893="Lib","Liberica")</f>
        <v>Arabica</v>
      </c>
      <c r="O893" t="str" cm="1">
        <f t="array" ref="O893">_xlfn.IFS(J893="M","Medium",J893="L","Light",J893="D","Dark")</f>
        <v>Dark</v>
      </c>
      <c r="P893" t="str">
        <f>_xlfn.XLOOKUP(Orders[[#This Row],[Customer ID]],customers!$A$1:$A$1001,customers!$I$1:$I$1001,,0)</f>
        <v>Yes</v>
      </c>
    </row>
    <row r="894" spans="1:16" x14ac:dyDescent="0.25">
      <c r="A894" s="2" t="s">
        <v>5537</v>
      </c>
      <c r="B894" s="3">
        <v>43635</v>
      </c>
      <c r="C894" s="2" t="s">
        <v>5538</v>
      </c>
      <c r="D894" t="s">
        <v>6156</v>
      </c>
      <c r="E894" s="2">
        <v>5</v>
      </c>
      <c r="F894" s="2" t="str">
        <f>_xlfn.XLOOKUP(orders!C894,customers!$A$2:$A$1001,customers!$B$2:$B$1001)</f>
        <v>Patsy Vasilenko</v>
      </c>
      <c r="G894" s="2" t="str">
        <f>IF(_xlfn.XLOOKUP(C894,customers!$A$2:$A$1001,customers!$C$2:$C$1001,,)=0,"",_xlfn.XLOOKUP(C894,customers!$A$2:$A$1001,customers!$C$2:$C$1001,,))</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cm="1">
        <f t="array" ref="N894">_xlfn.IFS(I894="Rob","Robusta",I894="Exc","Excelsa",I894="Ara","Arabica",I894="Lib","Liberica")</f>
        <v>Excelsa</v>
      </c>
      <c r="O894" t="str" cm="1">
        <f t="array" ref="O894">_xlfn.IFS(J894="M","Medium",J894="L","Light",J894="D","Dark")</f>
        <v>Medium</v>
      </c>
      <c r="P894" t="str">
        <f>_xlfn.XLOOKUP(Orders[[#This Row],[Customer ID]],customers!$A$1:$A$1001,customers!$I$1:$I$1001,,0)</f>
        <v>No</v>
      </c>
    </row>
    <row r="895" spans="1:16" x14ac:dyDescent="0.25">
      <c r="A895" s="2" t="s">
        <v>5543</v>
      </c>
      <c r="B895" s="3">
        <v>44651</v>
      </c>
      <c r="C895" s="2" t="s">
        <v>5544</v>
      </c>
      <c r="D895" t="s">
        <v>6161</v>
      </c>
      <c r="E895" s="2">
        <v>6</v>
      </c>
      <c r="F895" s="2" t="str">
        <f>_xlfn.XLOOKUP(orders!C895,customers!$A$2:$A$1001,customers!$B$2:$B$1001)</f>
        <v>Raphaela Schankelborg</v>
      </c>
      <c r="G895" s="2" t="str">
        <f>IF(_xlfn.XLOOKUP(C895,customers!$A$2:$A$1001,customers!$C$2:$C$1001,,)=0,"",_xlfn.XLOOKUP(C895,customers!$A$2:$A$1001,customers!$C$2:$C$1001,,))</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cm="1">
        <f t="array" ref="N895">_xlfn.IFS(I895="Rob","Robusta",I895="Exc","Excelsa",I895="Ara","Arabica",I895="Lib","Liberica")</f>
        <v>Liberica</v>
      </c>
      <c r="O895" t="str" cm="1">
        <f t="array" ref="O895">_xlfn.IFS(J895="M","Medium",J895="L","Light",J895="D","Dark")</f>
        <v>Light</v>
      </c>
      <c r="P895" t="str">
        <f>_xlfn.XLOOKUP(Orders[[#This Row],[Customer ID]],customers!$A$1:$A$1001,customers!$I$1:$I$1001,,0)</f>
        <v>Yes</v>
      </c>
    </row>
    <row r="896" spans="1:16" x14ac:dyDescent="0.25">
      <c r="A896" s="2" t="s">
        <v>5548</v>
      </c>
      <c r="B896" s="3">
        <v>44016</v>
      </c>
      <c r="C896" s="2" t="s">
        <v>5549</v>
      </c>
      <c r="D896" t="s">
        <v>6149</v>
      </c>
      <c r="E896" s="2">
        <v>4</v>
      </c>
      <c r="F896" s="2" t="str">
        <f>_xlfn.XLOOKUP(orders!C896,customers!$A$2:$A$1001,customers!$B$2:$B$1001)</f>
        <v>Sharity Wickens</v>
      </c>
      <c r="G896" s="2" t="str">
        <f>IF(_xlfn.XLOOKUP(C896,customers!$A$2:$A$1001,customers!$C$2:$C$1001,,)=0,"",_xlfn.XLOOKUP(C896,customers!$A$2:$A$1001,customers!$C$2:$C$1001,,))</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cm="1">
        <f t="array" ref="N896">_xlfn.IFS(I896="Rob","Robusta",I896="Exc","Excelsa",I896="Ara","Arabica",I896="Lib","Liberica")</f>
        <v>Robusta</v>
      </c>
      <c r="O896" t="str" cm="1">
        <f t="array" ref="O896">_xlfn.IFS(J896="M","Medium",J896="L","Light",J896="D","Dark")</f>
        <v>Dark</v>
      </c>
      <c r="P896" t="str">
        <f>_xlfn.XLOOKUP(Orders[[#This Row],[Customer ID]],customers!$A$1:$A$1001,customers!$I$1:$I$1001,,0)</f>
        <v>Yes</v>
      </c>
    </row>
    <row r="897" spans="1:16" x14ac:dyDescent="0.25">
      <c r="A897" s="2" t="s">
        <v>5553</v>
      </c>
      <c r="B897" s="3">
        <v>44521</v>
      </c>
      <c r="C897" s="2" t="s">
        <v>5554</v>
      </c>
      <c r="D897" t="s">
        <v>6166</v>
      </c>
      <c r="E897" s="2">
        <v>5</v>
      </c>
      <c r="F897" s="2" t="str">
        <f>_xlfn.XLOOKUP(orders!C897,customers!$A$2:$A$1001,customers!$B$2:$B$1001)</f>
        <v>Derick Snow</v>
      </c>
      <c r="G897" s="2" t="str">
        <f>IF(_xlfn.XLOOKUP(C897,customers!$A$2:$A$1001,customers!$C$2:$C$1001,,)=0,"",_xlfn.XLOOKUP(C897,customers!$A$2:$A$1001,customers!$C$2:$C$1001,,))</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cm="1">
        <f t="array" ref="N897">_xlfn.IFS(I897="Rob","Robusta",I897="Exc","Excelsa",I897="Ara","Arabica",I897="Lib","Liberica")</f>
        <v>Excelsa</v>
      </c>
      <c r="O897" t="str" cm="1">
        <f t="array" ref="O897">_xlfn.IFS(J897="M","Medium",J897="L","Light",J897="D","Dark")</f>
        <v>Medium</v>
      </c>
      <c r="P897" t="str">
        <f>_xlfn.XLOOKUP(Orders[[#This Row],[Customer ID]],customers!$A$1:$A$1001,customers!$I$1:$I$1001,,0)</f>
        <v>No</v>
      </c>
    </row>
    <row r="898" spans="1:16" x14ac:dyDescent="0.25">
      <c r="A898" s="2" t="s">
        <v>5558</v>
      </c>
      <c r="B898" s="3">
        <v>44347</v>
      </c>
      <c r="C898" s="2" t="s">
        <v>5559</v>
      </c>
      <c r="D898" t="s">
        <v>6172</v>
      </c>
      <c r="E898" s="2">
        <v>6</v>
      </c>
      <c r="F898" s="2" t="str">
        <f>_xlfn.XLOOKUP(orders!C898,customers!$A$2:$A$1001,customers!$B$2:$B$1001)</f>
        <v>Baxy Cargen</v>
      </c>
      <c r="G898" s="2" t="str">
        <f>IF(_xlfn.XLOOKUP(C898,customers!$A$2:$A$1001,customers!$C$2:$C$1001,,)=0,"",_xlfn.XLOOKUP(C898,customers!$A$2:$A$1001,customers!$C$2:$C$1001,,))</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cm="1">
        <f t="array" ref="N898">_xlfn.IFS(I898="Rob","Robusta",I898="Exc","Excelsa",I898="Ara","Arabica",I898="Lib","Liberica")</f>
        <v>Robusta</v>
      </c>
      <c r="O898" t="str" cm="1">
        <f t="array" ref="O898">_xlfn.IFS(J898="M","Medium",J898="L","Light",J898="D","Dark")</f>
        <v>Dark</v>
      </c>
      <c r="P898" t="str">
        <f>_xlfn.XLOOKUP(Orders[[#This Row],[Customer ID]],customers!$A$1:$A$1001,customers!$I$1:$I$1001,,0)</f>
        <v>Yes</v>
      </c>
    </row>
    <row r="899" spans="1:16" x14ac:dyDescent="0.25">
      <c r="A899" s="2" t="s">
        <v>5564</v>
      </c>
      <c r="B899" s="3">
        <v>43932</v>
      </c>
      <c r="C899" s="2" t="s">
        <v>5565</v>
      </c>
      <c r="D899" t="s">
        <v>6183</v>
      </c>
      <c r="E899" s="2">
        <v>2</v>
      </c>
      <c r="F899" s="2" t="str">
        <f>_xlfn.XLOOKUP(orders!C899,customers!$A$2:$A$1001,customers!$B$2:$B$1001)</f>
        <v>Ryann Stickler</v>
      </c>
      <c r="G899" s="2" t="str">
        <f>IF(_xlfn.XLOOKUP(C899,customers!$A$2:$A$1001,customers!$C$2:$C$1001,,)=0,"",_xlfn.XLOOKUP(C899,customers!$A$2:$A$1001,customers!$C$2:$C$1001,,))</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L899*E899</f>
        <v>24.3</v>
      </c>
      <c r="N899" t="str" cm="1">
        <f t="array" ref="N899">_xlfn.IFS(I899="Rob","Robusta",I899="Exc","Excelsa",I899="Ara","Arabica",I899="Lib","Liberica")</f>
        <v>Excelsa</v>
      </c>
      <c r="O899" t="str" cm="1">
        <f t="array" ref="O899">_xlfn.IFS(J899="M","Medium",J899="L","Light",J899="D","Dark")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_xlfn.XLOOKUP(orders!C900,customers!$A$2:$A$1001,customers!$B$2:$B$1001)</f>
        <v>Daryn Cassius</v>
      </c>
      <c r="G900" s="2" t="str">
        <f>IF(_xlfn.XLOOKUP(C900,customers!$A$2:$A$1001,customers!$C$2:$C$1001,,)=0,"",_xlfn.XLOOKUP(C900,customers!$A$2:$A$1001,customers!$C$2:$C$1001,,))</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cm="1">
        <f t="array" ref="N900">_xlfn.IFS(I900="Rob","Robusta",I900="Exc","Excelsa",I900="Ara","Arabica",I900="Lib","Liberica")</f>
        <v>Robusta</v>
      </c>
      <c r="O900" t="str" cm="1">
        <f t="array" ref="O900">_xlfn.IFS(J900="M","Medium",J900="L","Light",J900="D","Dark")</f>
        <v>Light</v>
      </c>
      <c r="P900" t="str">
        <f>_xlfn.XLOOKUP(Orders[[#This Row],[Customer ID]],customers!$A$1:$A$1001,customers!$I$1:$I$1001,,0)</f>
        <v>No</v>
      </c>
    </row>
    <row r="901" spans="1:16" x14ac:dyDescent="0.25">
      <c r="A901" s="2" t="s">
        <v>5575</v>
      </c>
      <c r="B901" s="3">
        <v>44523</v>
      </c>
      <c r="C901" s="2" t="s">
        <v>5554</v>
      </c>
      <c r="D901" t="s">
        <v>6162</v>
      </c>
      <c r="E901" s="2">
        <v>5</v>
      </c>
      <c r="F901" s="2" t="str">
        <f>_xlfn.XLOOKUP(orders!C901,customers!$A$2:$A$1001,customers!$B$2:$B$1001)</f>
        <v>Derick Snow</v>
      </c>
      <c r="G901" s="2" t="str">
        <f>IF(_xlfn.XLOOKUP(C901,customers!$A$2:$A$1001,customers!$C$2:$C$1001,,)=0,"",_xlfn.XLOOKUP(C901,customers!$A$2:$A$1001,customers!$C$2:$C$1001,,))</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cm="1">
        <f t="array" ref="N901">_xlfn.IFS(I901="Rob","Robusta",I901="Exc","Excelsa",I901="Ara","Arabica",I901="Lib","Liberica")</f>
        <v>Liberica</v>
      </c>
      <c r="O901" t="str" cm="1">
        <f t="array" ref="O901">_xlfn.IFS(J901="M","Medium",J901="L","Light",J901="D","Dark")</f>
        <v>Medium</v>
      </c>
      <c r="P901" t="str">
        <f>_xlfn.XLOOKUP(Orders[[#This Row],[Customer ID]],customers!$A$1:$A$1001,customers!$I$1:$I$1001,,0)</f>
        <v>No</v>
      </c>
    </row>
    <row r="902" spans="1:16" x14ac:dyDescent="0.25">
      <c r="A902" s="2" t="s">
        <v>5580</v>
      </c>
      <c r="B902" s="3">
        <v>44584</v>
      </c>
      <c r="C902" s="2" t="s">
        <v>5581</v>
      </c>
      <c r="D902" t="s">
        <v>6170</v>
      </c>
      <c r="E902" s="2">
        <v>3</v>
      </c>
      <c r="F902" s="2" t="str">
        <f>_xlfn.XLOOKUP(orders!C902,customers!$A$2:$A$1001,customers!$B$2:$B$1001)</f>
        <v>Skelly Dolohunty</v>
      </c>
      <c r="G902" s="2" t="str">
        <f>IF(_xlfn.XLOOKUP(C902,customers!$A$2:$A$1001,customers!$C$2:$C$1001,,)=0,"",_xlfn.XLOOKUP(C902,customers!$A$2:$A$1001,customers!$C$2:$C$1001,,))</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cm="1">
        <f t="array" ref="N902">_xlfn.IFS(I902="Rob","Robusta",I902="Exc","Excelsa",I902="Ara","Arabica",I902="Lib","Liberica")</f>
        <v>Liberica</v>
      </c>
      <c r="O902" t="str" cm="1">
        <f t="array" ref="O902">_xlfn.IFS(J902="M","Medium",J902="L","Light",J902="D","Dark")</f>
        <v>Light</v>
      </c>
      <c r="P902" t="str">
        <f>_xlfn.XLOOKUP(Orders[[#This Row],[Customer ID]],customers!$A$1:$A$1001,customers!$I$1:$I$1001,,0)</f>
        <v>No</v>
      </c>
    </row>
    <row r="903" spans="1:16" x14ac:dyDescent="0.25">
      <c r="A903" s="2" t="s">
        <v>5585</v>
      </c>
      <c r="B903" s="3">
        <v>44223</v>
      </c>
      <c r="C903" s="2" t="s">
        <v>5586</v>
      </c>
      <c r="D903" t="s">
        <v>6178</v>
      </c>
      <c r="E903" s="2">
        <v>1</v>
      </c>
      <c r="F903" s="2" t="str">
        <f>_xlfn.XLOOKUP(orders!C903,customers!$A$2:$A$1001,customers!$B$2:$B$1001)</f>
        <v>Drake Jevon</v>
      </c>
      <c r="G903" s="2" t="str">
        <f>IF(_xlfn.XLOOKUP(C903,customers!$A$2:$A$1001,customers!$C$2:$C$1001,,)=0,"",_xlfn.XLOOKUP(C903,customers!$A$2:$A$1001,customers!$C$2:$C$1001,,))</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cm="1">
        <f t="array" ref="N903">_xlfn.IFS(I903="Rob","Robusta",I903="Exc","Excelsa",I903="Ara","Arabica",I903="Lib","Liberica")</f>
        <v>Robusta</v>
      </c>
      <c r="O903" t="str" cm="1">
        <f t="array" ref="O903">_xlfn.IFS(J903="M","Medium",J903="L","Light",J903="D","Dark")</f>
        <v>Light</v>
      </c>
      <c r="P903" t="str">
        <f>_xlfn.XLOOKUP(Orders[[#This Row],[Customer ID]],customers!$A$1:$A$1001,customers!$I$1:$I$1001,,0)</f>
        <v>Yes</v>
      </c>
    </row>
    <row r="904" spans="1:16" x14ac:dyDescent="0.25">
      <c r="A904" s="2" t="s">
        <v>5591</v>
      </c>
      <c r="B904" s="3">
        <v>43640</v>
      </c>
      <c r="C904" s="2" t="s">
        <v>5592</v>
      </c>
      <c r="D904" t="s">
        <v>6166</v>
      </c>
      <c r="E904" s="2">
        <v>5</v>
      </c>
      <c r="F904" s="2" t="str">
        <f>_xlfn.XLOOKUP(orders!C904,customers!$A$2:$A$1001,customers!$B$2:$B$1001)</f>
        <v>Hall Ranner</v>
      </c>
      <c r="G904" s="2" t="str">
        <f>IF(_xlfn.XLOOKUP(C904,customers!$A$2:$A$1001,customers!$C$2:$C$1001,,)=0,"",_xlfn.XLOOKUP(C904,customers!$A$2:$A$1001,customers!$C$2:$C$1001,,))</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cm="1">
        <f t="array" ref="N904">_xlfn.IFS(I904="Rob","Robusta",I904="Exc","Excelsa",I904="Ara","Arabica",I904="Lib","Liberica")</f>
        <v>Excelsa</v>
      </c>
      <c r="O904" t="str" cm="1">
        <f t="array" ref="O904">_xlfn.IFS(J904="M","Medium",J904="L","Light",J904="D","Dark")</f>
        <v>Medium</v>
      </c>
      <c r="P904" t="str">
        <f>_xlfn.XLOOKUP(Orders[[#This Row],[Customer ID]],customers!$A$1:$A$1001,customers!$I$1:$I$1001,,0)</f>
        <v>No</v>
      </c>
    </row>
    <row r="905" spans="1:16" x14ac:dyDescent="0.25">
      <c r="A905" s="2" t="s">
        <v>5597</v>
      </c>
      <c r="B905" s="3">
        <v>43905</v>
      </c>
      <c r="C905" s="2" t="s">
        <v>5598</v>
      </c>
      <c r="D905" t="s">
        <v>6160</v>
      </c>
      <c r="E905" s="2">
        <v>2</v>
      </c>
      <c r="F905" s="2" t="str">
        <f>_xlfn.XLOOKUP(orders!C905,customers!$A$2:$A$1001,customers!$B$2:$B$1001)</f>
        <v>Berkly Imrie</v>
      </c>
      <c r="G905" s="2" t="str">
        <f>IF(_xlfn.XLOOKUP(C905,customers!$A$2:$A$1001,customers!$C$2:$C$1001,,)=0,"",_xlfn.XLOOKUP(C905,customers!$A$2:$A$1001,customers!$C$2:$C$1001,,))</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cm="1">
        <f t="array" ref="N905">_xlfn.IFS(I905="Rob","Robusta",I905="Exc","Excelsa",I905="Ara","Arabica",I905="Lib","Liberica")</f>
        <v>Liberica</v>
      </c>
      <c r="O905" t="str" cm="1">
        <f t="array" ref="O905">_xlfn.IFS(J905="M","Medium",J905="L","Light",J905="D","Dark")</f>
        <v>Medium</v>
      </c>
      <c r="P905" t="str">
        <f>_xlfn.XLOOKUP(Orders[[#This Row],[Customer ID]],customers!$A$1:$A$1001,customers!$I$1:$I$1001,,0)</f>
        <v>No</v>
      </c>
    </row>
    <row r="906" spans="1:16" x14ac:dyDescent="0.25">
      <c r="A906" s="2" t="s">
        <v>5603</v>
      </c>
      <c r="B906" s="3">
        <v>44463</v>
      </c>
      <c r="C906" s="2" t="s">
        <v>5604</v>
      </c>
      <c r="D906" t="s">
        <v>6182</v>
      </c>
      <c r="E906" s="2">
        <v>5</v>
      </c>
      <c r="F906" s="2" t="str">
        <f>_xlfn.XLOOKUP(orders!C906,customers!$A$2:$A$1001,customers!$B$2:$B$1001)</f>
        <v>Dorey Sopper</v>
      </c>
      <c r="G906" s="2" t="str">
        <f>IF(_xlfn.XLOOKUP(C906,customers!$A$2:$A$1001,customers!$C$2:$C$1001,,)=0,"",_xlfn.XLOOKUP(C906,customers!$A$2:$A$1001,customers!$C$2:$C$1001,,))</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cm="1">
        <f t="array" ref="N906">_xlfn.IFS(I906="Rob","Robusta",I906="Exc","Excelsa",I906="Ara","Arabica",I906="Lib","Liberica")</f>
        <v>Arabica</v>
      </c>
      <c r="O906" t="str" cm="1">
        <f t="array" ref="O906">_xlfn.IFS(J906="M","Medium",J906="L","Light",J906="D","Dark")</f>
        <v>Light</v>
      </c>
      <c r="P906" t="str">
        <f>_xlfn.XLOOKUP(Orders[[#This Row],[Customer ID]],customers!$A$1:$A$1001,customers!$I$1:$I$1001,,0)</f>
        <v>No</v>
      </c>
    </row>
    <row r="907" spans="1:16" x14ac:dyDescent="0.25">
      <c r="A907" s="2" t="s">
        <v>5609</v>
      </c>
      <c r="B907" s="3">
        <v>43560</v>
      </c>
      <c r="C907" s="2" t="s">
        <v>5610</v>
      </c>
      <c r="D907" t="s">
        <v>6157</v>
      </c>
      <c r="E907" s="2">
        <v>6</v>
      </c>
      <c r="F907" s="2" t="str">
        <f>_xlfn.XLOOKUP(orders!C907,customers!$A$2:$A$1001,customers!$B$2:$B$1001)</f>
        <v>Darcy Lochran</v>
      </c>
      <c r="G907" s="2" t="str">
        <f>IF(_xlfn.XLOOKUP(C907,customers!$A$2:$A$1001,customers!$C$2:$C$1001,,)=0,"",_xlfn.XLOOKUP(C907,customers!$A$2:$A$1001,customers!$C$2:$C$1001,,))</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cm="1">
        <f t="array" ref="N907">_xlfn.IFS(I907="Rob","Robusta",I907="Exc","Excelsa",I907="Ara","Arabica",I907="Lib","Liberica")</f>
        <v>Arabica</v>
      </c>
      <c r="O907" t="str" cm="1">
        <f t="array" ref="O907">_xlfn.IFS(J907="M","Medium",J907="L","Light",J907="D","Dark")</f>
        <v>Medium</v>
      </c>
      <c r="P907" t="str">
        <f>_xlfn.XLOOKUP(Orders[[#This Row],[Customer ID]],customers!$A$1:$A$1001,customers!$I$1:$I$1001,,0)</f>
        <v>Yes</v>
      </c>
    </row>
    <row r="908" spans="1:16" x14ac:dyDescent="0.25">
      <c r="A908" s="2" t="s">
        <v>5614</v>
      </c>
      <c r="B908" s="3">
        <v>44588</v>
      </c>
      <c r="C908" s="2" t="s">
        <v>5615</v>
      </c>
      <c r="D908" t="s">
        <v>6157</v>
      </c>
      <c r="E908" s="2">
        <v>4</v>
      </c>
      <c r="F908" s="2" t="str">
        <f>_xlfn.XLOOKUP(orders!C908,customers!$A$2:$A$1001,customers!$B$2:$B$1001)</f>
        <v>Lauritz Ledgley</v>
      </c>
      <c r="G908" s="2" t="str">
        <f>IF(_xlfn.XLOOKUP(C908,customers!$A$2:$A$1001,customers!$C$2:$C$1001,,)=0,"",_xlfn.XLOOKUP(C908,customers!$A$2:$A$1001,customers!$C$2:$C$1001,,))</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cm="1">
        <f t="array" ref="N908">_xlfn.IFS(I908="Rob","Robusta",I908="Exc","Excelsa",I908="Ara","Arabica",I908="Lib","Liberica")</f>
        <v>Arabica</v>
      </c>
      <c r="O908" t="str" cm="1">
        <f t="array" ref="O908">_xlfn.IFS(J908="M","Medium",J908="L","Light",J908="D","Dark")</f>
        <v>Medium</v>
      </c>
      <c r="P908" t="str">
        <f>_xlfn.XLOOKUP(Orders[[#This Row],[Customer ID]],customers!$A$1:$A$1001,customers!$I$1:$I$1001,,0)</f>
        <v>Yes</v>
      </c>
    </row>
    <row r="909" spans="1:16" x14ac:dyDescent="0.25">
      <c r="A909" s="2" t="s">
        <v>5620</v>
      </c>
      <c r="B909" s="3">
        <v>44449</v>
      </c>
      <c r="C909" s="2" t="s">
        <v>5621</v>
      </c>
      <c r="D909" t="s">
        <v>6143</v>
      </c>
      <c r="E909" s="2">
        <v>3</v>
      </c>
      <c r="F909" s="2" t="str">
        <f>_xlfn.XLOOKUP(orders!C909,customers!$A$2:$A$1001,customers!$B$2:$B$1001)</f>
        <v>Tawnya Menary</v>
      </c>
      <c r="G909" s="2" t="str">
        <f>IF(_xlfn.XLOOKUP(C909,customers!$A$2:$A$1001,customers!$C$2:$C$1001,,)=0,"",_xlfn.XLOOKUP(C909,customers!$A$2:$A$1001,customers!$C$2:$C$1001,,))</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cm="1">
        <f t="array" ref="N909">_xlfn.IFS(I909="Rob","Robusta",I909="Exc","Excelsa",I909="Ara","Arabica",I909="Lib","Liberica")</f>
        <v>Liberica</v>
      </c>
      <c r="O909" t="str" cm="1">
        <f t="array" ref="O909">_xlfn.IFS(J909="M","Medium",J909="L","Light",J909="D","Dark")</f>
        <v>Dark</v>
      </c>
      <c r="P909" t="str">
        <f>_xlfn.XLOOKUP(Orders[[#This Row],[Customer ID]],customers!$A$1:$A$1001,customers!$I$1:$I$1001,,0)</f>
        <v>No</v>
      </c>
    </row>
    <row r="910" spans="1:16" x14ac:dyDescent="0.25">
      <c r="A910" s="2" t="s">
        <v>5626</v>
      </c>
      <c r="B910" s="3">
        <v>43836</v>
      </c>
      <c r="C910" s="2" t="s">
        <v>5627</v>
      </c>
      <c r="D910" t="s">
        <v>6179</v>
      </c>
      <c r="E910" s="2">
        <v>5</v>
      </c>
      <c r="F910" s="2" t="str">
        <f>_xlfn.XLOOKUP(orders!C910,customers!$A$2:$A$1001,customers!$B$2:$B$1001)</f>
        <v>Gustaf Ciccotti</v>
      </c>
      <c r="G910" s="2" t="str">
        <f>IF(_xlfn.XLOOKUP(C910,customers!$A$2:$A$1001,customers!$C$2:$C$1001,,)=0,"",_xlfn.XLOOKUP(C910,customers!$A$2:$A$1001,customers!$C$2:$C$1001,,))</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cm="1">
        <f t="array" ref="N910">_xlfn.IFS(I910="Rob","Robusta",I910="Exc","Excelsa",I910="Ara","Arabica",I910="Lib","Liberica")</f>
        <v>Robusta</v>
      </c>
      <c r="O910" t="str" cm="1">
        <f t="array" ref="O910">_xlfn.IFS(J910="M","Medium",J910="L","Light",J910="D","Dark")</f>
        <v>Light</v>
      </c>
      <c r="P910" t="str">
        <f>_xlfn.XLOOKUP(Orders[[#This Row],[Customer ID]],customers!$A$1:$A$1001,customers!$I$1:$I$1001,,0)</f>
        <v>No</v>
      </c>
    </row>
    <row r="911" spans="1:16" x14ac:dyDescent="0.25">
      <c r="A911" s="2" t="s">
        <v>5632</v>
      </c>
      <c r="B911" s="3">
        <v>44635</v>
      </c>
      <c r="C911" s="2" t="s">
        <v>5633</v>
      </c>
      <c r="D911" t="s">
        <v>6178</v>
      </c>
      <c r="E911" s="2">
        <v>3</v>
      </c>
      <c r="F911" s="2" t="str">
        <f>_xlfn.XLOOKUP(orders!C911,customers!$A$2:$A$1001,customers!$B$2:$B$1001)</f>
        <v>Bobbe Renner</v>
      </c>
      <c r="G911" s="2" t="str">
        <f>IF(_xlfn.XLOOKUP(C911,customers!$A$2:$A$1001,customers!$C$2:$C$1001,,)=0,"",_xlfn.XLOOKUP(C911,customers!$A$2:$A$1001,customers!$C$2:$C$1001,,))</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cm="1">
        <f t="array" ref="N911">_xlfn.IFS(I911="Rob","Robusta",I911="Exc","Excelsa",I911="Ara","Arabica",I911="Lib","Liberica")</f>
        <v>Robusta</v>
      </c>
      <c r="O911" t="str" cm="1">
        <f t="array" ref="O911">_xlfn.IFS(J911="M","Medium",J911="L","Light",J911="D","Dark")</f>
        <v>Light</v>
      </c>
      <c r="P911" t="str">
        <f>_xlfn.XLOOKUP(Orders[[#This Row],[Customer ID]],customers!$A$1:$A$1001,customers!$I$1:$I$1001,,0)</f>
        <v>No</v>
      </c>
    </row>
    <row r="912" spans="1:16" x14ac:dyDescent="0.25">
      <c r="A912" s="2" t="s">
        <v>5637</v>
      </c>
      <c r="B912" s="3">
        <v>44447</v>
      </c>
      <c r="C912" s="2" t="s">
        <v>5638</v>
      </c>
      <c r="D912" t="s">
        <v>6168</v>
      </c>
      <c r="E912" s="2">
        <v>4</v>
      </c>
      <c r="F912" s="2" t="str">
        <f>_xlfn.XLOOKUP(orders!C912,customers!$A$2:$A$1001,customers!$B$2:$B$1001)</f>
        <v>Wilton Jallin</v>
      </c>
      <c r="G912" s="2" t="str">
        <f>IF(_xlfn.XLOOKUP(C912,customers!$A$2:$A$1001,customers!$C$2:$C$1001,,)=0,"",_xlfn.XLOOKUP(C912,customers!$A$2:$A$1001,customers!$C$2:$C$1001,,))</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cm="1">
        <f t="array" ref="N912">_xlfn.IFS(I912="Rob","Robusta",I912="Exc","Excelsa",I912="Ara","Arabica",I912="Lib","Liberica")</f>
        <v>Arabica</v>
      </c>
      <c r="O912" t="str" cm="1">
        <f t="array" ref="O912">_xlfn.IFS(J912="M","Medium",J912="L","Light",J912="D","Dark")</f>
        <v>Dark</v>
      </c>
      <c r="P912" t="str">
        <f>_xlfn.XLOOKUP(Orders[[#This Row],[Customer ID]],customers!$A$1:$A$1001,customers!$I$1:$I$1001,,0)</f>
        <v>No</v>
      </c>
    </row>
    <row r="913" spans="1:16" x14ac:dyDescent="0.25">
      <c r="A913" s="2" t="s">
        <v>5643</v>
      </c>
      <c r="B913" s="3">
        <v>44511</v>
      </c>
      <c r="C913" s="2" t="s">
        <v>5644</v>
      </c>
      <c r="D913" t="s">
        <v>6155</v>
      </c>
      <c r="E913" s="2">
        <v>4</v>
      </c>
      <c r="F913" s="2" t="str">
        <f>_xlfn.XLOOKUP(orders!C913,customers!$A$2:$A$1001,customers!$B$2:$B$1001)</f>
        <v>Mindy Bogey</v>
      </c>
      <c r="G913" s="2" t="str">
        <f>IF(_xlfn.XLOOKUP(C913,customers!$A$2:$A$1001,customers!$C$2:$C$1001,,)=0,"",_xlfn.XLOOKUP(C913,customers!$A$2:$A$1001,customers!$C$2:$C$1001,,))</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cm="1">
        <f t="array" ref="N913">_xlfn.IFS(I913="Rob","Robusta",I913="Exc","Excelsa",I913="Ara","Arabica",I913="Lib","Liberica")</f>
        <v>Arabica</v>
      </c>
      <c r="O913" t="str" cm="1">
        <f t="array" ref="O913">_xlfn.IFS(J913="M","Medium",J913="L","Light",J913="D","Dark")</f>
        <v>Medium</v>
      </c>
      <c r="P913" t="str">
        <f>_xlfn.XLOOKUP(Orders[[#This Row],[Customer ID]],customers!$A$1:$A$1001,customers!$I$1:$I$1001,,0)</f>
        <v>Yes</v>
      </c>
    </row>
    <row r="914" spans="1:16" x14ac:dyDescent="0.25">
      <c r="A914" s="2" t="s">
        <v>5649</v>
      </c>
      <c r="B914" s="3">
        <v>43726</v>
      </c>
      <c r="C914" s="2" t="s">
        <v>5650</v>
      </c>
      <c r="D914" t="s">
        <v>6151</v>
      </c>
      <c r="E914" s="2">
        <v>6</v>
      </c>
      <c r="F914" s="2" t="str">
        <f>_xlfn.XLOOKUP(orders!C914,customers!$A$2:$A$1001,customers!$B$2:$B$1001)</f>
        <v>Paulie Fonzone</v>
      </c>
      <c r="G914" s="2" t="str">
        <f>IF(_xlfn.XLOOKUP(C914,customers!$A$2:$A$1001,customers!$C$2:$C$1001,,)=0,"",_xlfn.XLOOKUP(C914,customers!$A$2:$A$1001,customers!$C$2:$C$1001,,))</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cm="1">
        <f t="array" ref="N914">_xlfn.IFS(I914="Rob","Robusta",I914="Exc","Excelsa",I914="Ara","Arabica",I914="Lib","Liberica")</f>
        <v>Robusta</v>
      </c>
      <c r="O914" t="str" cm="1">
        <f t="array" ref="O914">_xlfn.IFS(J914="M","Medium",J914="L","Light",J914="D","Dark")</f>
        <v>Medium</v>
      </c>
      <c r="P914" t="str">
        <f>_xlfn.XLOOKUP(Orders[[#This Row],[Customer ID]],customers!$A$1:$A$1001,customers!$I$1:$I$1001,,0)</f>
        <v>Yes</v>
      </c>
    </row>
    <row r="915" spans="1:16" x14ac:dyDescent="0.25">
      <c r="A915" s="2" t="s">
        <v>5654</v>
      </c>
      <c r="B915" s="3">
        <v>44406</v>
      </c>
      <c r="C915" s="2" t="s">
        <v>5655</v>
      </c>
      <c r="D915" t="s">
        <v>6157</v>
      </c>
      <c r="E915" s="2">
        <v>1</v>
      </c>
      <c r="F915" s="2" t="str">
        <f>_xlfn.XLOOKUP(orders!C915,customers!$A$2:$A$1001,customers!$B$2:$B$1001)</f>
        <v>Merrile Cobbledick</v>
      </c>
      <c r="G915" s="2" t="str">
        <f>IF(_xlfn.XLOOKUP(C915,customers!$A$2:$A$1001,customers!$C$2:$C$1001,,)=0,"",_xlfn.XLOOKUP(C915,customers!$A$2:$A$1001,customers!$C$2:$C$1001,,))</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cm="1">
        <f t="array" ref="N915">_xlfn.IFS(I915="Rob","Robusta",I915="Exc","Excelsa",I915="Ara","Arabica",I915="Lib","Liberica")</f>
        <v>Arabica</v>
      </c>
      <c r="O915" t="str" cm="1">
        <f t="array" ref="O915">_xlfn.IFS(J915="M","Medium",J915="L","Light",J915="D","Dark")</f>
        <v>Medium</v>
      </c>
      <c r="P915" t="str">
        <f>_xlfn.XLOOKUP(Orders[[#This Row],[Customer ID]],customers!$A$1:$A$1001,customers!$I$1:$I$1001,,0)</f>
        <v>No</v>
      </c>
    </row>
    <row r="916" spans="1:16" x14ac:dyDescent="0.25">
      <c r="A916" s="2" t="s">
        <v>5660</v>
      </c>
      <c r="B916" s="3">
        <v>44640</v>
      </c>
      <c r="C916" s="2" t="s">
        <v>5661</v>
      </c>
      <c r="D916" t="s">
        <v>6155</v>
      </c>
      <c r="E916" s="2">
        <v>4</v>
      </c>
      <c r="F916" s="2" t="str">
        <f>_xlfn.XLOOKUP(orders!C916,customers!$A$2:$A$1001,customers!$B$2:$B$1001)</f>
        <v>Antonius Lewry</v>
      </c>
      <c r="G916" s="2" t="str">
        <f>IF(_xlfn.XLOOKUP(C916,customers!$A$2:$A$1001,customers!$C$2:$C$1001,,)=0,"",_xlfn.XLOOKUP(C916,customers!$A$2:$A$1001,customers!$C$2:$C$1001,,))</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cm="1">
        <f t="array" ref="N916">_xlfn.IFS(I916="Rob","Robusta",I916="Exc","Excelsa",I916="Ara","Arabica",I916="Lib","Liberica")</f>
        <v>Arabica</v>
      </c>
      <c r="O916" t="str" cm="1">
        <f t="array" ref="O916">_xlfn.IFS(J916="M","Medium",J916="L","Light",J916="D","Dark")</f>
        <v>Medium</v>
      </c>
      <c r="P916" t="str">
        <f>_xlfn.XLOOKUP(Orders[[#This Row],[Customer ID]],customers!$A$1:$A$1001,customers!$I$1:$I$1001,,0)</f>
        <v>No</v>
      </c>
    </row>
    <row r="917" spans="1:16" x14ac:dyDescent="0.25">
      <c r="A917" s="2" t="s">
        <v>5666</v>
      </c>
      <c r="B917" s="3">
        <v>43955</v>
      </c>
      <c r="C917" s="2" t="s">
        <v>5667</v>
      </c>
      <c r="D917" t="s">
        <v>6185</v>
      </c>
      <c r="E917" s="2">
        <v>3</v>
      </c>
      <c r="F917" s="2" t="str">
        <f>_xlfn.XLOOKUP(orders!C917,customers!$A$2:$A$1001,customers!$B$2:$B$1001)</f>
        <v>Isis Hessel</v>
      </c>
      <c r="G917" s="2" t="str">
        <f>IF(_xlfn.XLOOKUP(C917,customers!$A$2:$A$1001,customers!$C$2:$C$1001,,)=0,"",_xlfn.XLOOKUP(C917,customers!$A$2:$A$1001,customers!$C$2:$C$1001,,))</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cm="1">
        <f t="array" ref="N917">_xlfn.IFS(I917="Rob","Robusta",I917="Exc","Excelsa",I917="Ara","Arabica",I917="Lib","Liberica")</f>
        <v>Excelsa</v>
      </c>
      <c r="O917" t="str" cm="1">
        <f t="array" ref="O917">_xlfn.IFS(J917="M","Medium",J917="L","Light",J917="D","Dark")</f>
        <v>Dark</v>
      </c>
      <c r="P917" t="str">
        <f>_xlfn.XLOOKUP(Orders[[#This Row],[Customer ID]],customers!$A$1:$A$1001,customers!$I$1:$I$1001,,0)</f>
        <v>Yes</v>
      </c>
    </row>
    <row r="918" spans="1:16" x14ac:dyDescent="0.25">
      <c r="A918" s="2" t="s">
        <v>5672</v>
      </c>
      <c r="B918" s="3">
        <v>44291</v>
      </c>
      <c r="C918" s="2" t="s">
        <v>5673</v>
      </c>
      <c r="D918" t="s">
        <v>6153</v>
      </c>
      <c r="E918" s="2">
        <v>1</v>
      </c>
      <c r="F918" s="2" t="str">
        <f>_xlfn.XLOOKUP(orders!C918,customers!$A$2:$A$1001,customers!$B$2:$B$1001)</f>
        <v>Harland Trematick</v>
      </c>
      <c r="G918" s="2" t="str">
        <f>IF(_xlfn.XLOOKUP(C918,customers!$A$2:$A$1001,customers!$C$2:$C$1001,,)=0,"",_xlfn.XLOOKUP(C918,customers!$A$2:$A$1001,customers!$C$2:$C$1001,,))</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cm="1">
        <f t="array" ref="N918">_xlfn.IFS(I918="Rob","Robusta",I918="Exc","Excelsa",I918="Ara","Arabica",I918="Lib","Liberica")</f>
        <v>Excelsa</v>
      </c>
      <c r="O918" t="str" cm="1">
        <f t="array" ref="O918">_xlfn.IFS(J918="M","Medium",J918="L","Light",J918="D","Dark")</f>
        <v>Dark</v>
      </c>
      <c r="P918" t="str">
        <f>_xlfn.XLOOKUP(Orders[[#This Row],[Customer ID]],customers!$A$1:$A$1001,customers!$I$1:$I$1001,,0)</f>
        <v>Yes</v>
      </c>
    </row>
    <row r="919" spans="1:16" x14ac:dyDescent="0.25">
      <c r="A919" s="2" t="s">
        <v>5676</v>
      </c>
      <c r="B919" s="3">
        <v>44573</v>
      </c>
      <c r="C919" s="2" t="s">
        <v>5677</v>
      </c>
      <c r="D919" t="s">
        <v>6157</v>
      </c>
      <c r="E919" s="2">
        <v>1</v>
      </c>
      <c r="F919" s="2" t="str">
        <f>_xlfn.XLOOKUP(orders!C919,customers!$A$2:$A$1001,customers!$B$2:$B$1001)</f>
        <v>Chloris Sorrell</v>
      </c>
      <c r="G919" s="2" t="str">
        <f>IF(_xlfn.XLOOKUP(C919,customers!$A$2:$A$1001,customers!$C$2:$C$1001,,)=0,"",_xlfn.XLOOKUP(C919,customers!$A$2:$A$1001,customers!$C$2:$C$1001,,))</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cm="1">
        <f t="array" ref="N919">_xlfn.IFS(I919="Rob","Robusta",I919="Exc","Excelsa",I919="Ara","Arabica",I919="Lib","Liberica")</f>
        <v>Arabica</v>
      </c>
      <c r="O919" t="str" cm="1">
        <f t="array" ref="O919">_xlfn.IFS(J919="M","Medium",J919="L","Light",J919="D","Dark")</f>
        <v>Medium</v>
      </c>
      <c r="P919" t="str">
        <f>_xlfn.XLOOKUP(Orders[[#This Row],[Customer ID]],customers!$A$1:$A$1001,customers!$I$1:$I$1001,,0)</f>
        <v>No</v>
      </c>
    </row>
    <row r="920" spans="1:16" x14ac:dyDescent="0.25">
      <c r="A920" s="2" t="s">
        <v>5676</v>
      </c>
      <c r="B920" s="3">
        <v>44573</v>
      </c>
      <c r="C920" s="2" t="s">
        <v>5677</v>
      </c>
      <c r="D920" t="s">
        <v>6144</v>
      </c>
      <c r="E920" s="2">
        <v>3</v>
      </c>
      <c r="F920" s="2" t="str">
        <f>_xlfn.XLOOKUP(orders!C920,customers!$A$2:$A$1001,customers!$B$2:$B$1001)</f>
        <v>Chloris Sorrell</v>
      </c>
      <c r="G920" s="2" t="str">
        <f>IF(_xlfn.XLOOKUP(C920,customers!$A$2:$A$1001,customers!$C$2:$C$1001,,)=0,"",_xlfn.XLOOKUP(C920,customers!$A$2:$A$1001,customers!$C$2:$C$1001,,))</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cm="1">
        <f t="array" ref="N920">_xlfn.IFS(I920="Rob","Robusta",I920="Exc","Excelsa",I920="Ara","Arabica",I920="Lib","Liberica")</f>
        <v>Excelsa</v>
      </c>
      <c r="O920" t="str" cm="1">
        <f t="array" ref="O920">_xlfn.IFS(J920="M","Medium",J920="L","Light",J920="D","Dark")</f>
        <v>Dark</v>
      </c>
      <c r="P920" t="str">
        <f>_xlfn.XLOOKUP(Orders[[#This Row],[Customer ID]],customers!$A$1:$A$1001,customers!$I$1:$I$1001,,0)</f>
        <v>No</v>
      </c>
    </row>
    <row r="921" spans="1:16" x14ac:dyDescent="0.25">
      <c r="A921" s="2" t="s">
        <v>5687</v>
      </c>
      <c r="B921" s="3">
        <v>44181</v>
      </c>
      <c r="C921" s="2" t="s">
        <v>5688</v>
      </c>
      <c r="D921" t="s">
        <v>6163</v>
      </c>
      <c r="E921" s="2">
        <v>5</v>
      </c>
      <c r="F921" s="2" t="str">
        <f>_xlfn.XLOOKUP(orders!C921,customers!$A$2:$A$1001,customers!$B$2:$B$1001)</f>
        <v>Quintina Heavyside</v>
      </c>
      <c r="G921" s="2" t="str">
        <f>IF(_xlfn.XLOOKUP(C921,customers!$A$2:$A$1001,customers!$C$2:$C$1001,,)=0,"",_xlfn.XLOOKUP(C921,customers!$A$2:$A$1001,customers!$C$2:$C$1001,,))</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cm="1">
        <f t="array" ref="N921">_xlfn.IFS(I921="Rob","Robusta",I921="Exc","Excelsa",I921="Ara","Arabica",I921="Lib","Liberica")</f>
        <v>Robusta</v>
      </c>
      <c r="O921" t="str" cm="1">
        <f t="array" ref="O921">_xlfn.IFS(J921="M","Medium",J921="L","Light",J921="D","Dark")</f>
        <v>Dark</v>
      </c>
      <c r="P921" t="str">
        <f>_xlfn.XLOOKUP(Orders[[#This Row],[Customer ID]],customers!$A$1:$A$1001,customers!$I$1:$I$1001,,0)</f>
        <v>Yes</v>
      </c>
    </row>
    <row r="922" spans="1:16" x14ac:dyDescent="0.25">
      <c r="A922" s="2" t="s">
        <v>5693</v>
      </c>
      <c r="B922" s="3">
        <v>44711</v>
      </c>
      <c r="C922" s="2" t="s">
        <v>5694</v>
      </c>
      <c r="D922" t="s">
        <v>6149</v>
      </c>
      <c r="E922" s="2">
        <v>6</v>
      </c>
      <c r="F922" s="2" t="str">
        <f>_xlfn.XLOOKUP(orders!C922,customers!$A$2:$A$1001,customers!$B$2:$B$1001)</f>
        <v>Hadley Reuven</v>
      </c>
      <c r="G922" s="2" t="str">
        <f>IF(_xlfn.XLOOKUP(C922,customers!$A$2:$A$1001,customers!$C$2:$C$1001,,)=0,"",_xlfn.XLOOKUP(C922,customers!$A$2:$A$1001,customers!$C$2:$C$1001,,))</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cm="1">
        <f t="array" ref="N922">_xlfn.IFS(I922="Rob","Robusta",I922="Exc","Excelsa",I922="Ara","Arabica",I922="Lib","Liberica")</f>
        <v>Robusta</v>
      </c>
      <c r="O922" t="str" cm="1">
        <f t="array" ref="O922">_xlfn.IFS(J922="M","Medium",J922="L","Light",J922="D","Dark")</f>
        <v>Dark</v>
      </c>
      <c r="P922" t="str">
        <f>_xlfn.XLOOKUP(Orders[[#This Row],[Customer ID]],customers!$A$1:$A$1001,customers!$I$1:$I$1001,,0)</f>
        <v>No</v>
      </c>
    </row>
    <row r="923" spans="1:16" x14ac:dyDescent="0.25">
      <c r="A923" s="2" t="s">
        <v>5699</v>
      </c>
      <c r="B923" s="3">
        <v>44509</v>
      </c>
      <c r="C923" s="2" t="s">
        <v>5700</v>
      </c>
      <c r="D923" t="s">
        <v>6150</v>
      </c>
      <c r="E923" s="2">
        <v>2</v>
      </c>
      <c r="F923" s="2" t="str">
        <f>_xlfn.XLOOKUP(orders!C923,customers!$A$2:$A$1001,customers!$B$2:$B$1001)</f>
        <v>Mitch Attwool</v>
      </c>
      <c r="G923" s="2" t="str">
        <f>IF(_xlfn.XLOOKUP(C923,customers!$A$2:$A$1001,customers!$C$2:$C$1001,,)=0,"",_xlfn.XLOOKUP(C923,customers!$A$2:$A$1001,customers!$C$2:$C$1001,,))</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cm="1">
        <f t="array" ref="N923">_xlfn.IFS(I923="Rob","Robusta",I923="Exc","Excelsa",I923="Ara","Arabica",I923="Lib","Liberica")</f>
        <v>Liberica</v>
      </c>
      <c r="O923" t="str" cm="1">
        <f t="array" ref="O923">_xlfn.IFS(J923="M","Medium",J923="L","Light",J923="D","Dark")</f>
        <v>Dark</v>
      </c>
      <c r="P923" t="str">
        <f>_xlfn.XLOOKUP(Orders[[#This Row],[Customer ID]],customers!$A$1:$A$1001,customers!$I$1:$I$1001,,0)</f>
        <v>No</v>
      </c>
    </row>
    <row r="924" spans="1:16" x14ac:dyDescent="0.25">
      <c r="A924" s="2" t="s">
        <v>5705</v>
      </c>
      <c r="B924" s="3">
        <v>44659</v>
      </c>
      <c r="C924" s="2" t="s">
        <v>5706</v>
      </c>
      <c r="D924" t="s">
        <v>6155</v>
      </c>
      <c r="E924" s="2">
        <v>6</v>
      </c>
      <c r="F924" s="2" t="str">
        <f>_xlfn.XLOOKUP(orders!C924,customers!$A$2:$A$1001,customers!$B$2:$B$1001)</f>
        <v>Charin Maplethorp</v>
      </c>
      <c r="G924" s="2" t="str">
        <f>IF(_xlfn.XLOOKUP(C924,customers!$A$2:$A$1001,customers!$C$2:$C$1001,,)=0,"",_xlfn.XLOOKUP(C924,customers!$A$2:$A$1001,customers!$C$2:$C$1001,,))</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cm="1">
        <f t="array" ref="N924">_xlfn.IFS(I924="Rob","Robusta",I924="Exc","Excelsa",I924="Ara","Arabica",I924="Lib","Liberica")</f>
        <v>Arabica</v>
      </c>
      <c r="O924" t="str" cm="1">
        <f t="array" ref="O924">_xlfn.IFS(J924="M","Medium",J924="L","Light",J924="D","Dark")</f>
        <v>Medium</v>
      </c>
      <c r="P924" t="str">
        <f>_xlfn.XLOOKUP(Orders[[#This Row],[Customer ID]],customers!$A$1:$A$1001,customers!$I$1:$I$1001,,0)</f>
        <v>Yes</v>
      </c>
    </row>
    <row r="925" spans="1:16" x14ac:dyDescent="0.25">
      <c r="A925" s="2" t="s">
        <v>5709</v>
      </c>
      <c r="B925" s="3">
        <v>43746</v>
      </c>
      <c r="C925" s="2" t="s">
        <v>5710</v>
      </c>
      <c r="D925" t="s">
        <v>6185</v>
      </c>
      <c r="E925" s="2">
        <v>1</v>
      </c>
      <c r="F925" s="2" t="str">
        <f>_xlfn.XLOOKUP(orders!C925,customers!$A$2:$A$1001,customers!$B$2:$B$1001)</f>
        <v>Goldie Wynes</v>
      </c>
      <c r="G925" s="2" t="str">
        <f>IF(_xlfn.XLOOKUP(C925,customers!$A$2:$A$1001,customers!$C$2:$C$1001,,)=0,"",_xlfn.XLOOKUP(C925,customers!$A$2:$A$1001,customers!$C$2:$C$1001,,))</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cm="1">
        <f t="array" ref="N925">_xlfn.IFS(I925="Rob","Robusta",I925="Exc","Excelsa",I925="Ara","Arabica",I925="Lib","Liberica")</f>
        <v>Excelsa</v>
      </c>
      <c r="O925" t="str" cm="1">
        <f t="array" ref="O925">_xlfn.IFS(J925="M","Medium",J925="L","Light",J925="D","Dark")</f>
        <v>Dark</v>
      </c>
      <c r="P925" t="str">
        <f>_xlfn.XLOOKUP(Orders[[#This Row],[Customer ID]],customers!$A$1:$A$1001,customers!$I$1:$I$1001,,0)</f>
        <v>No</v>
      </c>
    </row>
    <row r="926" spans="1:16" x14ac:dyDescent="0.25">
      <c r="A926" s="2" t="s">
        <v>5715</v>
      </c>
      <c r="B926" s="3">
        <v>44451</v>
      </c>
      <c r="C926" s="2" t="s">
        <v>5716</v>
      </c>
      <c r="D926" t="s">
        <v>6182</v>
      </c>
      <c r="E926" s="2">
        <v>3</v>
      </c>
      <c r="F926" s="2" t="str">
        <f>_xlfn.XLOOKUP(orders!C926,customers!$A$2:$A$1001,customers!$B$2:$B$1001)</f>
        <v>Celie MacCourt</v>
      </c>
      <c r="G926" s="2" t="str">
        <f>IF(_xlfn.XLOOKUP(C926,customers!$A$2:$A$1001,customers!$C$2:$C$1001,,)=0,"",_xlfn.XLOOKUP(C926,customers!$A$2:$A$1001,customers!$C$2:$C$1001,,))</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cm="1">
        <f t="array" ref="N926">_xlfn.IFS(I926="Rob","Robusta",I926="Exc","Excelsa",I926="Ara","Arabica",I926="Lib","Liberica")</f>
        <v>Arabica</v>
      </c>
      <c r="O926" t="str" cm="1">
        <f t="array" ref="O926">_xlfn.IFS(J926="M","Medium",J926="L","Light",J926="D","Dark")</f>
        <v>Light</v>
      </c>
      <c r="P926" t="str">
        <f>_xlfn.XLOOKUP(Orders[[#This Row],[Customer ID]],customers!$A$1:$A$1001,customers!$I$1:$I$1001,,0)</f>
        <v>No</v>
      </c>
    </row>
    <row r="927" spans="1:16" x14ac:dyDescent="0.25">
      <c r="A927" s="2" t="s">
        <v>5720</v>
      </c>
      <c r="B927" s="3">
        <v>44770</v>
      </c>
      <c r="C927" s="2" t="s">
        <v>5554</v>
      </c>
      <c r="D927" t="s">
        <v>6157</v>
      </c>
      <c r="E927" s="2">
        <v>3</v>
      </c>
      <c r="F927" s="2" t="str">
        <f>_xlfn.XLOOKUP(orders!C927,customers!$A$2:$A$1001,customers!$B$2:$B$1001)</f>
        <v>Derick Snow</v>
      </c>
      <c r="G927" s="2" t="str">
        <f>IF(_xlfn.XLOOKUP(C927,customers!$A$2:$A$1001,customers!$C$2:$C$1001,,)=0,"",_xlfn.XLOOKUP(C927,customers!$A$2:$A$1001,customers!$C$2:$C$1001,,))</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cm="1">
        <f t="array" ref="N927">_xlfn.IFS(I927="Rob","Robusta",I927="Exc","Excelsa",I927="Ara","Arabica",I927="Lib","Liberica")</f>
        <v>Arabica</v>
      </c>
      <c r="O927" t="str" cm="1">
        <f t="array" ref="O927">_xlfn.IFS(J927="M","Medium",J927="L","Light",J927="D","Dark")</f>
        <v>Medium</v>
      </c>
      <c r="P927" t="str">
        <f>_xlfn.XLOOKUP(Orders[[#This Row],[Customer ID]],customers!$A$1:$A$1001,customers!$I$1:$I$1001,,0)</f>
        <v>No</v>
      </c>
    </row>
    <row r="928" spans="1:16" x14ac:dyDescent="0.25">
      <c r="A928" s="2" t="s">
        <v>5725</v>
      </c>
      <c r="B928" s="3">
        <v>44012</v>
      </c>
      <c r="C928" s="2" t="s">
        <v>5726</v>
      </c>
      <c r="D928" t="s">
        <v>6157</v>
      </c>
      <c r="E928" s="2">
        <v>5</v>
      </c>
      <c r="F928" s="2" t="str">
        <f>_xlfn.XLOOKUP(orders!C928,customers!$A$2:$A$1001,customers!$B$2:$B$1001)</f>
        <v>Evy Wilsone</v>
      </c>
      <c r="G928" s="2" t="str">
        <f>IF(_xlfn.XLOOKUP(C928,customers!$A$2:$A$1001,customers!$C$2:$C$1001,,)=0,"",_xlfn.XLOOKUP(C928,customers!$A$2:$A$1001,customers!$C$2:$C$1001,,))</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cm="1">
        <f t="array" ref="N928">_xlfn.IFS(I928="Rob","Robusta",I928="Exc","Excelsa",I928="Ara","Arabica",I928="Lib","Liberica")</f>
        <v>Arabica</v>
      </c>
      <c r="O928" t="str" cm="1">
        <f t="array" ref="O928">_xlfn.IFS(J928="M","Medium",J928="L","Light",J928="D","Dark")</f>
        <v>Medium</v>
      </c>
      <c r="P928" t="str">
        <f>_xlfn.XLOOKUP(Orders[[#This Row],[Customer ID]],customers!$A$1:$A$1001,customers!$I$1:$I$1001,,0)</f>
        <v>Yes</v>
      </c>
    </row>
    <row r="929" spans="1:16" x14ac:dyDescent="0.25">
      <c r="A929" s="2" t="s">
        <v>5731</v>
      </c>
      <c r="B929" s="3">
        <v>43474</v>
      </c>
      <c r="C929" s="2" t="s">
        <v>5732</v>
      </c>
      <c r="D929" t="s">
        <v>6185</v>
      </c>
      <c r="E929" s="2">
        <v>4</v>
      </c>
      <c r="F929" s="2" t="str">
        <f>_xlfn.XLOOKUP(orders!C929,customers!$A$2:$A$1001,customers!$B$2:$B$1001)</f>
        <v>Dolores Duffie</v>
      </c>
      <c r="G929" s="2" t="str">
        <f>IF(_xlfn.XLOOKUP(C929,customers!$A$2:$A$1001,customers!$C$2:$C$1001,,)=0,"",_xlfn.XLOOKUP(C929,customers!$A$2:$A$1001,customers!$C$2:$C$1001,,))</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cm="1">
        <f t="array" ref="N929">_xlfn.IFS(I929="Rob","Robusta",I929="Exc","Excelsa",I929="Ara","Arabica",I929="Lib","Liberica")</f>
        <v>Excelsa</v>
      </c>
      <c r="O929" t="str" cm="1">
        <f t="array" ref="O929">_xlfn.IFS(J929="M","Medium",J929="L","Light",J929="D","Dark")</f>
        <v>Dark</v>
      </c>
      <c r="P929" t="str">
        <f>_xlfn.XLOOKUP(Orders[[#This Row],[Customer ID]],customers!$A$1:$A$1001,customers!$I$1:$I$1001,,0)</f>
        <v>No</v>
      </c>
    </row>
    <row r="930" spans="1:16" x14ac:dyDescent="0.25">
      <c r="A930" s="2" t="s">
        <v>5737</v>
      </c>
      <c r="B930" s="3">
        <v>44754</v>
      </c>
      <c r="C930" s="2" t="s">
        <v>5738</v>
      </c>
      <c r="D930" t="s">
        <v>6166</v>
      </c>
      <c r="E930" s="2">
        <v>2</v>
      </c>
      <c r="F930" s="2" t="str">
        <f>_xlfn.XLOOKUP(orders!C930,customers!$A$2:$A$1001,customers!$B$2:$B$1001)</f>
        <v>Mathilda Matiasek</v>
      </c>
      <c r="G930" s="2" t="str">
        <f>IF(_xlfn.XLOOKUP(C930,customers!$A$2:$A$1001,customers!$C$2:$C$1001,,)=0,"",_xlfn.XLOOKUP(C930,customers!$A$2:$A$1001,customers!$C$2:$C$1001,,))</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cm="1">
        <f t="array" ref="N930">_xlfn.IFS(I930="Rob","Robusta",I930="Exc","Excelsa",I930="Ara","Arabica",I930="Lib","Liberica")</f>
        <v>Excelsa</v>
      </c>
      <c r="O930" t="str" cm="1">
        <f t="array" ref="O930">_xlfn.IFS(J930="M","Medium",J930="L","Light",J930="D","Dark")</f>
        <v>Medium</v>
      </c>
      <c r="P930" t="str">
        <f>_xlfn.XLOOKUP(Orders[[#This Row],[Customer ID]],customers!$A$1:$A$1001,customers!$I$1:$I$1001,,0)</f>
        <v>Yes</v>
      </c>
    </row>
    <row r="931" spans="1:16" x14ac:dyDescent="0.25">
      <c r="A931" s="2" t="s">
        <v>5742</v>
      </c>
      <c r="B931" s="3">
        <v>44165</v>
      </c>
      <c r="C931" s="2" t="s">
        <v>5743</v>
      </c>
      <c r="D931" t="s">
        <v>6184</v>
      </c>
      <c r="E931" s="2">
        <v>2</v>
      </c>
      <c r="F931" s="2" t="str">
        <f>_xlfn.XLOOKUP(orders!C931,customers!$A$2:$A$1001,customers!$B$2:$B$1001)</f>
        <v>Jarred Camillo</v>
      </c>
      <c r="G931" s="2" t="str">
        <f>IF(_xlfn.XLOOKUP(C931,customers!$A$2:$A$1001,customers!$C$2:$C$1001,,)=0,"",_xlfn.XLOOKUP(C931,customers!$A$2:$A$1001,customers!$C$2:$C$1001,,))</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cm="1">
        <f t="array" ref="N931">_xlfn.IFS(I931="Rob","Robusta",I931="Exc","Excelsa",I931="Ara","Arabica",I931="Lib","Liberica")</f>
        <v>Excelsa</v>
      </c>
      <c r="O931" t="str" cm="1">
        <f t="array" ref="O931">_xlfn.IFS(J931="M","Medium",J931="L","Light",J931="D","Dark")</f>
        <v>Light</v>
      </c>
      <c r="P931" t="str">
        <f>_xlfn.XLOOKUP(Orders[[#This Row],[Customer ID]],customers!$A$1:$A$1001,customers!$I$1:$I$1001,,0)</f>
        <v>Yes</v>
      </c>
    </row>
    <row r="932" spans="1:16" x14ac:dyDescent="0.25">
      <c r="A932" s="2" t="s">
        <v>5748</v>
      </c>
      <c r="B932" s="3">
        <v>43546</v>
      </c>
      <c r="C932" s="2" t="s">
        <v>5749</v>
      </c>
      <c r="D932" t="s">
        <v>6183</v>
      </c>
      <c r="E932" s="2">
        <v>1</v>
      </c>
      <c r="F932" s="2" t="str">
        <f>_xlfn.XLOOKUP(orders!C932,customers!$A$2:$A$1001,customers!$B$2:$B$1001)</f>
        <v>Kameko Philbrick</v>
      </c>
      <c r="G932" s="2" t="str">
        <f>IF(_xlfn.XLOOKUP(C932,customers!$A$2:$A$1001,customers!$C$2:$C$1001,,)=0,"",_xlfn.XLOOKUP(C932,customers!$A$2:$A$1001,customers!$C$2:$C$1001,,))</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cm="1">
        <f t="array" ref="N932">_xlfn.IFS(I932="Rob","Robusta",I932="Exc","Excelsa",I932="Ara","Arabica",I932="Lib","Liberica")</f>
        <v>Excelsa</v>
      </c>
      <c r="O932" t="str" cm="1">
        <f t="array" ref="O932">_xlfn.IFS(J932="M","Medium",J932="L","Light",J932="D","Dark")</f>
        <v>Dark</v>
      </c>
      <c r="P932" t="str">
        <f>_xlfn.XLOOKUP(Orders[[#This Row],[Customer ID]],customers!$A$1:$A$1001,customers!$I$1:$I$1001,,0)</f>
        <v>Yes</v>
      </c>
    </row>
    <row r="933" spans="1:16" x14ac:dyDescent="0.25">
      <c r="A933" s="2" t="s">
        <v>5753</v>
      </c>
      <c r="B933" s="3">
        <v>44607</v>
      </c>
      <c r="C933" s="2" t="s">
        <v>5754</v>
      </c>
      <c r="D933" t="s">
        <v>6158</v>
      </c>
      <c r="E933" s="2">
        <v>4</v>
      </c>
      <c r="F933" s="2" t="str">
        <f>_xlfn.XLOOKUP(orders!C933,customers!$A$2:$A$1001,customers!$B$2:$B$1001)</f>
        <v>Mallory Shrimpling</v>
      </c>
      <c r="G933" s="2" t="str">
        <f>IF(_xlfn.XLOOKUP(C933,customers!$A$2:$A$1001,customers!$C$2:$C$1001,,)=0,"",_xlfn.XLOOKUP(C933,customers!$A$2:$A$1001,customers!$C$2:$C$1001,,))</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cm="1">
        <f t="array" ref="N933">_xlfn.IFS(I933="Rob","Robusta",I933="Exc","Excelsa",I933="Ara","Arabica",I933="Lib","Liberica")</f>
        <v>Arabica</v>
      </c>
      <c r="O933" t="str" cm="1">
        <f t="array" ref="O933">_xlfn.IFS(J933="M","Medium",J933="L","Light",J933="D","Dark")</f>
        <v>Dark</v>
      </c>
      <c r="P933" t="str">
        <f>_xlfn.XLOOKUP(Orders[[#This Row],[Customer ID]],customers!$A$1:$A$1001,customers!$I$1:$I$1001,,0)</f>
        <v>Yes</v>
      </c>
    </row>
    <row r="934" spans="1:16" x14ac:dyDescent="0.25">
      <c r="A934" s="2" t="s">
        <v>5757</v>
      </c>
      <c r="B934" s="3">
        <v>44117</v>
      </c>
      <c r="C934" s="2" t="s">
        <v>5758</v>
      </c>
      <c r="D934" t="s">
        <v>6141</v>
      </c>
      <c r="E934" s="2">
        <v>4</v>
      </c>
      <c r="F934" s="2" t="str">
        <f>_xlfn.XLOOKUP(orders!C934,customers!$A$2:$A$1001,customers!$B$2:$B$1001)</f>
        <v>Barnett Sillis</v>
      </c>
      <c r="G934" s="2" t="str">
        <f>IF(_xlfn.XLOOKUP(C934,customers!$A$2:$A$1001,customers!$C$2:$C$1001,,)=0,"",_xlfn.XLOOKUP(C934,customers!$A$2:$A$1001,customers!$C$2:$C$1001,,))</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cm="1">
        <f t="array" ref="N934">_xlfn.IFS(I934="Rob","Robusta",I934="Exc","Excelsa",I934="Ara","Arabica",I934="Lib","Liberica")</f>
        <v>Excelsa</v>
      </c>
      <c r="O934" t="str" cm="1">
        <f t="array" ref="O934">_xlfn.IFS(J934="M","Medium",J934="L","Light",J934="D","Dark")</f>
        <v>Medium</v>
      </c>
      <c r="P934" t="str">
        <f>_xlfn.XLOOKUP(Orders[[#This Row],[Customer ID]],customers!$A$1:$A$1001,customers!$I$1:$I$1001,,0)</f>
        <v>No</v>
      </c>
    </row>
    <row r="935" spans="1:16" x14ac:dyDescent="0.25">
      <c r="A935" s="2" t="s">
        <v>5763</v>
      </c>
      <c r="B935" s="3">
        <v>44557</v>
      </c>
      <c r="C935" s="2" t="s">
        <v>5764</v>
      </c>
      <c r="D935" t="s">
        <v>6177</v>
      </c>
      <c r="E935" s="2">
        <v>3</v>
      </c>
      <c r="F935" s="2" t="str">
        <f>_xlfn.XLOOKUP(orders!C935,customers!$A$2:$A$1001,customers!$B$2:$B$1001)</f>
        <v>Brenn Dundredge</v>
      </c>
      <c r="G935" s="2" t="str">
        <f>IF(_xlfn.XLOOKUP(C935,customers!$A$2:$A$1001,customers!$C$2:$C$1001,,)=0,"",_xlfn.XLOOKUP(C935,customers!$A$2:$A$1001,customers!$C$2:$C$1001,,))</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cm="1">
        <f t="array" ref="N935">_xlfn.IFS(I935="Rob","Robusta",I935="Exc","Excelsa",I935="Ara","Arabica",I935="Lib","Liberica")</f>
        <v>Robusta</v>
      </c>
      <c r="O935" t="str" cm="1">
        <f t="array" ref="O935">_xlfn.IFS(J935="M","Medium",J935="L","Light",J935="D","Dark")</f>
        <v>Dark</v>
      </c>
      <c r="P935" t="str">
        <f>_xlfn.XLOOKUP(Orders[[#This Row],[Customer ID]],customers!$A$1:$A$1001,customers!$I$1:$I$1001,,0)</f>
        <v>Yes</v>
      </c>
    </row>
    <row r="936" spans="1:16" x14ac:dyDescent="0.25">
      <c r="A936" s="2" t="s">
        <v>5768</v>
      </c>
      <c r="B936" s="3">
        <v>44409</v>
      </c>
      <c r="C936" s="2" t="s">
        <v>5769</v>
      </c>
      <c r="D936" t="s">
        <v>6151</v>
      </c>
      <c r="E936" s="2">
        <v>5</v>
      </c>
      <c r="F936" s="2" t="str">
        <f>_xlfn.XLOOKUP(orders!C936,customers!$A$2:$A$1001,customers!$B$2:$B$1001)</f>
        <v>Read Cutts</v>
      </c>
      <c r="G936" s="2" t="str">
        <f>IF(_xlfn.XLOOKUP(C936,customers!$A$2:$A$1001,customers!$C$2:$C$1001,,)=0,"",_xlfn.XLOOKUP(C936,customers!$A$2:$A$1001,customers!$C$2:$C$1001,,))</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cm="1">
        <f t="array" ref="N936">_xlfn.IFS(I936="Rob","Robusta",I936="Exc","Excelsa",I936="Ara","Arabica",I936="Lib","Liberica")</f>
        <v>Robusta</v>
      </c>
      <c r="O936" t="str" cm="1">
        <f t="array" ref="O936">_xlfn.IFS(J936="M","Medium",J936="L","Light",J936="D","Dark")</f>
        <v>Medium</v>
      </c>
      <c r="P936" t="str">
        <f>_xlfn.XLOOKUP(Orders[[#This Row],[Customer ID]],customers!$A$1:$A$1001,customers!$I$1:$I$1001,,0)</f>
        <v>No</v>
      </c>
    </row>
    <row r="937" spans="1:16" x14ac:dyDescent="0.25">
      <c r="A937" s="2" t="s">
        <v>5774</v>
      </c>
      <c r="B937" s="3">
        <v>44153</v>
      </c>
      <c r="C937" s="2" t="s">
        <v>5775</v>
      </c>
      <c r="D937" t="s">
        <v>6175</v>
      </c>
      <c r="E937" s="2">
        <v>6</v>
      </c>
      <c r="F937" s="2" t="str">
        <f>_xlfn.XLOOKUP(orders!C937,customers!$A$2:$A$1001,customers!$B$2:$B$1001)</f>
        <v>Michale Delves</v>
      </c>
      <c r="G937" s="2" t="str">
        <f>IF(_xlfn.XLOOKUP(C937,customers!$A$2:$A$1001,customers!$C$2:$C$1001,,)=0,"",_xlfn.XLOOKUP(C937,customers!$A$2:$A$1001,customers!$C$2:$C$1001,,))</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cm="1">
        <f t="array" ref="N937">_xlfn.IFS(I937="Rob","Robusta",I937="Exc","Excelsa",I937="Ara","Arabica",I937="Lib","Liberica")</f>
        <v>Arabica</v>
      </c>
      <c r="O937" t="str" cm="1">
        <f t="array" ref="O937">_xlfn.IFS(J937="M","Medium",J937="L","Light",J937="D","Dark")</f>
        <v>Medium</v>
      </c>
      <c r="P937" t="str">
        <f>_xlfn.XLOOKUP(Orders[[#This Row],[Customer ID]],customers!$A$1:$A$1001,customers!$I$1:$I$1001,,0)</f>
        <v>Yes</v>
      </c>
    </row>
    <row r="938" spans="1:16" x14ac:dyDescent="0.25">
      <c r="A938" s="2" t="s">
        <v>5780</v>
      </c>
      <c r="B938" s="3">
        <v>44493</v>
      </c>
      <c r="C938" s="2" t="s">
        <v>5781</v>
      </c>
      <c r="D938" t="s">
        <v>6169</v>
      </c>
      <c r="E938" s="2">
        <v>3</v>
      </c>
      <c r="F938" s="2" t="str">
        <f>_xlfn.XLOOKUP(orders!C938,customers!$A$2:$A$1001,customers!$B$2:$B$1001)</f>
        <v>Devland Gritton</v>
      </c>
      <c r="G938" s="2" t="str">
        <f>IF(_xlfn.XLOOKUP(C938,customers!$A$2:$A$1001,customers!$C$2:$C$1001,,)=0,"",_xlfn.XLOOKUP(C938,customers!$A$2:$A$1001,customers!$C$2:$C$1001,,))</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cm="1">
        <f t="array" ref="N938">_xlfn.IFS(I938="Rob","Robusta",I938="Exc","Excelsa",I938="Ara","Arabica",I938="Lib","Liberica")</f>
        <v>Liberica</v>
      </c>
      <c r="O938" t="str" cm="1">
        <f t="array" ref="O938">_xlfn.IFS(J938="M","Medium",J938="L","Light",J938="D","Dark")</f>
        <v>Dark</v>
      </c>
      <c r="P938" t="str">
        <f>_xlfn.XLOOKUP(Orders[[#This Row],[Customer ID]],customers!$A$1:$A$1001,customers!$I$1:$I$1001,,0)</f>
        <v>Yes</v>
      </c>
    </row>
    <row r="939" spans="1:16" x14ac:dyDescent="0.25">
      <c r="A939" s="2" t="s">
        <v>5780</v>
      </c>
      <c r="B939" s="3">
        <v>44493</v>
      </c>
      <c r="C939" s="2" t="s">
        <v>5781</v>
      </c>
      <c r="D939" t="s">
        <v>6151</v>
      </c>
      <c r="E939" s="2">
        <v>4</v>
      </c>
      <c r="F939" s="2" t="str">
        <f>_xlfn.XLOOKUP(orders!C939,customers!$A$2:$A$1001,customers!$B$2:$B$1001)</f>
        <v>Devland Gritton</v>
      </c>
      <c r="G939" s="2" t="str">
        <f>IF(_xlfn.XLOOKUP(C939,customers!$A$2:$A$1001,customers!$C$2:$C$1001,,)=0,"",_xlfn.XLOOKUP(C939,customers!$A$2:$A$1001,customers!$C$2:$C$1001,,))</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cm="1">
        <f t="array" ref="N939">_xlfn.IFS(I939="Rob","Robusta",I939="Exc","Excelsa",I939="Ara","Arabica",I939="Lib","Liberica")</f>
        <v>Robusta</v>
      </c>
      <c r="O939" t="str" cm="1">
        <f t="array" ref="O939">_xlfn.IFS(J939="M","Medium",J939="L","Light",J939="D","Dark")</f>
        <v>Medium</v>
      </c>
      <c r="P939" t="str">
        <f>_xlfn.XLOOKUP(Orders[[#This Row],[Customer ID]],customers!$A$1:$A$1001,customers!$I$1:$I$1001,,0)</f>
        <v>Yes</v>
      </c>
    </row>
    <row r="940" spans="1:16" x14ac:dyDescent="0.25">
      <c r="A940" s="2" t="s">
        <v>5791</v>
      </c>
      <c r="B940" s="3">
        <v>43829</v>
      </c>
      <c r="C940" s="2" t="s">
        <v>5792</v>
      </c>
      <c r="D940" t="s">
        <v>6171</v>
      </c>
      <c r="E940" s="2">
        <v>5</v>
      </c>
      <c r="F940" s="2" t="str">
        <f>_xlfn.XLOOKUP(orders!C940,customers!$A$2:$A$1001,customers!$B$2:$B$1001)</f>
        <v>Dell Gut</v>
      </c>
      <c r="G940" s="2" t="str">
        <f>IF(_xlfn.XLOOKUP(C940,customers!$A$2:$A$1001,customers!$C$2:$C$1001,,)=0,"",_xlfn.XLOOKUP(C940,customers!$A$2:$A$1001,customers!$C$2:$C$1001,,))</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cm="1">
        <f t="array" ref="N940">_xlfn.IFS(I940="Rob","Robusta",I940="Exc","Excelsa",I940="Ara","Arabica",I940="Lib","Liberica")</f>
        <v>Excelsa</v>
      </c>
      <c r="O940" t="str" cm="1">
        <f t="array" ref="O940">_xlfn.IFS(J940="M","Medium",J940="L","Light",J940="D","Dark")</f>
        <v>Light</v>
      </c>
      <c r="P940" t="str">
        <f>_xlfn.XLOOKUP(Orders[[#This Row],[Customer ID]],customers!$A$1:$A$1001,customers!$I$1:$I$1001,,0)</f>
        <v>Yes</v>
      </c>
    </row>
    <row r="941" spans="1:16" x14ac:dyDescent="0.25">
      <c r="A941" s="2" t="s">
        <v>5797</v>
      </c>
      <c r="B941" s="3">
        <v>44229</v>
      </c>
      <c r="C941" s="2" t="s">
        <v>5798</v>
      </c>
      <c r="D941" t="s">
        <v>6145</v>
      </c>
      <c r="E941" s="2">
        <v>6</v>
      </c>
      <c r="F941" s="2" t="str">
        <f>_xlfn.XLOOKUP(orders!C941,customers!$A$2:$A$1001,customers!$B$2:$B$1001)</f>
        <v>Willy Pummery</v>
      </c>
      <c r="G941" s="2" t="str">
        <f>IF(_xlfn.XLOOKUP(C941,customers!$A$2:$A$1001,customers!$C$2:$C$1001,,)=0,"",_xlfn.XLOOKUP(C941,customers!$A$2:$A$1001,customers!$C$2:$C$1001,,))</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cm="1">
        <f t="array" ref="N941">_xlfn.IFS(I941="Rob","Robusta",I941="Exc","Excelsa",I941="Ara","Arabica",I941="Lib","Liberica")</f>
        <v>Liberica</v>
      </c>
      <c r="O941" t="str" cm="1">
        <f t="array" ref="O941">_xlfn.IFS(J941="M","Medium",J941="L","Light",J941="D","Dark")</f>
        <v>Light</v>
      </c>
      <c r="P941" t="str">
        <f>_xlfn.XLOOKUP(Orders[[#This Row],[Customer ID]],customers!$A$1:$A$1001,customers!$I$1:$I$1001,,0)</f>
        <v>No</v>
      </c>
    </row>
    <row r="942" spans="1:16" x14ac:dyDescent="0.25">
      <c r="A942" s="2" t="s">
        <v>5803</v>
      </c>
      <c r="B942" s="3">
        <v>44332</v>
      </c>
      <c r="C942" s="2" t="s">
        <v>5804</v>
      </c>
      <c r="D942" t="s">
        <v>6173</v>
      </c>
      <c r="E942" s="2">
        <v>2</v>
      </c>
      <c r="F942" s="2" t="str">
        <f>_xlfn.XLOOKUP(orders!C942,customers!$A$2:$A$1001,customers!$B$2:$B$1001)</f>
        <v>Geoffrey Siuda</v>
      </c>
      <c r="G942" s="2" t="str">
        <f>IF(_xlfn.XLOOKUP(C942,customers!$A$2:$A$1001,customers!$C$2:$C$1001,,)=0,"",_xlfn.XLOOKUP(C942,customers!$A$2:$A$1001,customers!$C$2:$C$1001,,))</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cm="1">
        <f t="array" ref="N942">_xlfn.IFS(I942="Rob","Robusta",I942="Exc","Excelsa",I942="Ara","Arabica",I942="Lib","Liberica")</f>
        <v>Robusta</v>
      </c>
      <c r="O942" t="str" cm="1">
        <f t="array" ref="O942">_xlfn.IFS(J942="M","Medium",J942="L","Light",J942="D","Dark")</f>
        <v>Light</v>
      </c>
      <c r="P942" t="str">
        <f>_xlfn.XLOOKUP(Orders[[#This Row],[Customer ID]],customers!$A$1:$A$1001,customers!$I$1:$I$1001,,0)</f>
        <v>Yes</v>
      </c>
    </row>
    <row r="943" spans="1:16" x14ac:dyDescent="0.25">
      <c r="A943" s="2" t="s">
        <v>5809</v>
      </c>
      <c r="B943" s="3">
        <v>44674</v>
      </c>
      <c r="C943" s="2" t="s">
        <v>5810</v>
      </c>
      <c r="D943" t="s">
        <v>6180</v>
      </c>
      <c r="E943" s="2">
        <v>2</v>
      </c>
      <c r="F943" s="2" t="str">
        <f>_xlfn.XLOOKUP(orders!C943,customers!$A$2:$A$1001,customers!$B$2:$B$1001)</f>
        <v>Henderson Crowne</v>
      </c>
      <c r="G943" s="2" t="str">
        <f>IF(_xlfn.XLOOKUP(C943,customers!$A$2:$A$1001,customers!$C$2:$C$1001,,)=0,"",_xlfn.XLOOKUP(C943,customers!$A$2:$A$1001,customers!$C$2:$C$1001,,))</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cm="1">
        <f t="array" ref="N943">_xlfn.IFS(I943="Rob","Robusta",I943="Exc","Excelsa",I943="Ara","Arabica",I943="Lib","Liberica")</f>
        <v>Arabica</v>
      </c>
      <c r="O943" t="str" cm="1">
        <f t="array" ref="O943">_xlfn.IFS(J943="M","Medium",J943="L","Light",J943="D","Dark")</f>
        <v>Light</v>
      </c>
      <c r="P943" t="str">
        <f>_xlfn.XLOOKUP(Orders[[#This Row],[Customer ID]],customers!$A$1:$A$1001,customers!$I$1:$I$1001,,0)</f>
        <v>Yes</v>
      </c>
    </row>
    <row r="944" spans="1:16" x14ac:dyDescent="0.25">
      <c r="A944" s="2" t="s">
        <v>5816</v>
      </c>
      <c r="B944" s="3">
        <v>44464</v>
      </c>
      <c r="C944" s="2" t="s">
        <v>5817</v>
      </c>
      <c r="D944" t="s">
        <v>6179</v>
      </c>
      <c r="E944" s="2">
        <v>3</v>
      </c>
      <c r="F944" s="2" t="str">
        <f>_xlfn.XLOOKUP(orders!C944,customers!$A$2:$A$1001,customers!$B$2:$B$1001)</f>
        <v>Vernor Pawsey</v>
      </c>
      <c r="G944" s="2" t="str">
        <f>IF(_xlfn.XLOOKUP(C944,customers!$A$2:$A$1001,customers!$C$2:$C$1001,,)=0,"",_xlfn.XLOOKUP(C944,customers!$A$2:$A$1001,customers!$C$2:$C$1001,,))</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cm="1">
        <f t="array" ref="N944">_xlfn.IFS(I944="Rob","Robusta",I944="Exc","Excelsa",I944="Ara","Arabica",I944="Lib","Liberica")</f>
        <v>Robusta</v>
      </c>
      <c r="O944" t="str" cm="1">
        <f t="array" ref="O944">_xlfn.IFS(J944="M","Medium",J944="L","Light",J944="D","Dark")</f>
        <v>Light</v>
      </c>
      <c r="P944" t="str">
        <f>_xlfn.XLOOKUP(Orders[[#This Row],[Customer ID]],customers!$A$1:$A$1001,customers!$I$1:$I$1001,,0)</f>
        <v>No</v>
      </c>
    </row>
    <row r="945" spans="1:16" x14ac:dyDescent="0.25">
      <c r="A945" s="2" t="s">
        <v>5822</v>
      </c>
      <c r="B945" s="3">
        <v>44719</v>
      </c>
      <c r="C945" s="2" t="s">
        <v>5823</v>
      </c>
      <c r="D945" t="s">
        <v>6180</v>
      </c>
      <c r="E945" s="2">
        <v>6</v>
      </c>
      <c r="F945" s="2" t="str">
        <f>_xlfn.XLOOKUP(orders!C945,customers!$A$2:$A$1001,customers!$B$2:$B$1001)</f>
        <v>Augustin Waterhouse</v>
      </c>
      <c r="G945" s="2" t="str">
        <f>IF(_xlfn.XLOOKUP(C945,customers!$A$2:$A$1001,customers!$C$2:$C$1001,,)=0,"",_xlfn.XLOOKUP(C945,customers!$A$2:$A$1001,customers!$C$2:$C$1001,,))</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cm="1">
        <f t="array" ref="N945">_xlfn.IFS(I945="Rob","Robusta",I945="Exc","Excelsa",I945="Ara","Arabica",I945="Lib","Liberica")</f>
        <v>Arabica</v>
      </c>
      <c r="O945" t="str" cm="1">
        <f t="array" ref="O945">_xlfn.IFS(J945="M","Medium",J945="L","Light",J945="D","Dark")</f>
        <v>Light</v>
      </c>
      <c r="P945" t="str">
        <f>_xlfn.XLOOKUP(Orders[[#This Row],[Customer ID]],customers!$A$1:$A$1001,customers!$I$1:$I$1001,,0)</f>
        <v>No</v>
      </c>
    </row>
    <row r="946" spans="1:16" x14ac:dyDescent="0.25">
      <c r="A946" s="2" t="s">
        <v>5828</v>
      </c>
      <c r="B946" s="3">
        <v>44054</v>
      </c>
      <c r="C946" s="2" t="s">
        <v>5829</v>
      </c>
      <c r="D946" t="s">
        <v>6173</v>
      </c>
      <c r="E946" s="2">
        <v>5</v>
      </c>
      <c r="F946" s="2" t="str">
        <f>_xlfn.XLOOKUP(orders!C946,customers!$A$2:$A$1001,customers!$B$2:$B$1001)</f>
        <v>Fanchon Haughian</v>
      </c>
      <c r="G946" s="2" t="str">
        <f>IF(_xlfn.XLOOKUP(C946,customers!$A$2:$A$1001,customers!$C$2:$C$1001,,)=0,"",_xlfn.XLOOKUP(C946,customers!$A$2:$A$1001,customers!$C$2:$C$1001,,))</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cm="1">
        <f t="array" ref="N946">_xlfn.IFS(I946="Rob","Robusta",I946="Exc","Excelsa",I946="Ara","Arabica",I946="Lib","Liberica")</f>
        <v>Robusta</v>
      </c>
      <c r="O946" t="str" cm="1">
        <f t="array" ref="O946">_xlfn.IFS(J946="M","Medium",J946="L","Light",J946="D","Dark")</f>
        <v>Light</v>
      </c>
      <c r="P946" t="str">
        <f>_xlfn.XLOOKUP(Orders[[#This Row],[Customer ID]],customers!$A$1:$A$1001,customers!$I$1:$I$1001,,0)</f>
        <v>No</v>
      </c>
    </row>
    <row r="947" spans="1:16" x14ac:dyDescent="0.25">
      <c r="A947" s="2" t="s">
        <v>5834</v>
      </c>
      <c r="B947" s="3">
        <v>43524</v>
      </c>
      <c r="C947" s="2" t="s">
        <v>5835</v>
      </c>
      <c r="D947" t="s">
        <v>6165</v>
      </c>
      <c r="E947" s="2">
        <v>4</v>
      </c>
      <c r="F947" s="2" t="str">
        <f>_xlfn.XLOOKUP(orders!C947,customers!$A$2:$A$1001,customers!$B$2:$B$1001)</f>
        <v>Jaimie Hatz</v>
      </c>
      <c r="G947" s="2" t="str">
        <f>IF(_xlfn.XLOOKUP(C947,customers!$A$2:$A$1001,customers!$C$2:$C$1001,,)=0,"",_xlfn.XLOOKUP(C947,customers!$A$2:$A$1001,customers!$C$2:$C$1001,,))</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cm="1">
        <f t="array" ref="N947">_xlfn.IFS(I947="Rob","Robusta",I947="Exc","Excelsa",I947="Ara","Arabica",I947="Lib","Liberica")</f>
        <v>Liberica</v>
      </c>
      <c r="O947" t="str" cm="1">
        <f t="array" ref="O947">_xlfn.IFS(J947="M","Medium",J947="L","Light",J947="D","Dark")</f>
        <v>Dark</v>
      </c>
      <c r="P947" t="str">
        <f>_xlfn.XLOOKUP(Orders[[#This Row],[Customer ID]],customers!$A$1:$A$1001,customers!$I$1:$I$1001,,0)</f>
        <v>No</v>
      </c>
    </row>
    <row r="948" spans="1:16" x14ac:dyDescent="0.25">
      <c r="A948" s="2" t="s">
        <v>5839</v>
      </c>
      <c r="B948" s="3">
        <v>43719</v>
      </c>
      <c r="C948" s="2" t="s">
        <v>5840</v>
      </c>
      <c r="D948" t="s">
        <v>6169</v>
      </c>
      <c r="E948" s="2">
        <v>3</v>
      </c>
      <c r="F948" s="2" t="str">
        <f>_xlfn.XLOOKUP(orders!C948,customers!$A$2:$A$1001,customers!$B$2:$B$1001)</f>
        <v>Edeline Edney</v>
      </c>
      <c r="G948" s="2" t="str">
        <f>IF(_xlfn.XLOOKUP(C948,customers!$A$2:$A$1001,customers!$C$2:$C$1001,,)=0,"",_xlfn.XLOOKUP(C948,customers!$A$2:$A$1001,customers!$C$2:$C$1001,,))</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cm="1">
        <f t="array" ref="N948">_xlfn.IFS(I948="Rob","Robusta",I948="Exc","Excelsa",I948="Ara","Arabica",I948="Lib","Liberica")</f>
        <v>Liberica</v>
      </c>
      <c r="O948" t="str" cm="1">
        <f t="array" ref="O948">_xlfn.IFS(J948="M","Medium",J948="L","Light",J948="D","Dark")</f>
        <v>Dark</v>
      </c>
      <c r="P948" t="str">
        <f>_xlfn.XLOOKUP(Orders[[#This Row],[Customer ID]],customers!$A$1:$A$1001,customers!$I$1:$I$1001,,0)</f>
        <v>No</v>
      </c>
    </row>
    <row r="949" spans="1:16" x14ac:dyDescent="0.25">
      <c r="A949" s="2" t="s">
        <v>5844</v>
      </c>
      <c r="B949" s="3">
        <v>44294</v>
      </c>
      <c r="C949" s="2" t="s">
        <v>5845</v>
      </c>
      <c r="D949" t="s">
        <v>6155</v>
      </c>
      <c r="E949" s="2">
        <v>1</v>
      </c>
      <c r="F949" s="2" t="str">
        <f>_xlfn.XLOOKUP(orders!C949,customers!$A$2:$A$1001,customers!$B$2:$B$1001)</f>
        <v>Rickie Faltin</v>
      </c>
      <c r="G949" s="2" t="str">
        <f>IF(_xlfn.XLOOKUP(C949,customers!$A$2:$A$1001,customers!$C$2:$C$1001,,)=0,"",_xlfn.XLOOKUP(C949,customers!$A$2:$A$1001,customers!$C$2:$C$1001,,))</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cm="1">
        <f t="array" ref="N949">_xlfn.IFS(I949="Rob","Robusta",I949="Exc","Excelsa",I949="Ara","Arabica",I949="Lib","Liberica")</f>
        <v>Arabica</v>
      </c>
      <c r="O949" t="str" cm="1">
        <f t="array" ref="O949">_xlfn.IFS(J949="M","Medium",J949="L","Light",J949="D","Dark")</f>
        <v>Medium</v>
      </c>
      <c r="P949" t="str">
        <f>_xlfn.XLOOKUP(Orders[[#This Row],[Customer ID]],customers!$A$1:$A$1001,customers!$I$1:$I$1001,,0)</f>
        <v>No</v>
      </c>
    </row>
    <row r="950" spans="1:16" x14ac:dyDescent="0.25">
      <c r="A950" s="2" t="s">
        <v>5849</v>
      </c>
      <c r="B950" s="3">
        <v>44445</v>
      </c>
      <c r="C950" s="2" t="s">
        <v>5850</v>
      </c>
      <c r="D950" t="s">
        <v>6185</v>
      </c>
      <c r="E950" s="2">
        <v>3</v>
      </c>
      <c r="F950" s="2" t="str">
        <f>_xlfn.XLOOKUP(orders!C950,customers!$A$2:$A$1001,customers!$B$2:$B$1001)</f>
        <v>Gnni Cheeke</v>
      </c>
      <c r="G950" s="2" t="str">
        <f>IF(_xlfn.XLOOKUP(C950,customers!$A$2:$A$1001,customers!$C$2:$C$1001,,)=0,"",_xlfn.XLOOKUP(C950,customers!$A$2:$A$1001,customers!$C$2:$C$1001,,))</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cm="1">
        <f t="array" ref="N950">_xlfn.IFS(I950="Rob","Robusta",I950="Exc","Excelsa",I950="Ara","Arabica",I950="Lib","Liberica")</f>
        <v>Excelsa</v>
      </c>
      <c r="O950" t="str" cm="1">
        <f t="array" ref="O950">_xlfn.IFS(J950="M","Medium",J950="L","Light",J950="D","Dark")</f>
        <v>Dark</v>
      </c>
      <c r="P950" t="str">
        <f>_xlfn.XLOOKUP(Orders[[#This Row],[Customer ID]],customers!$A$1:$A$1001,customers!$I$1:$I$1001,,0)</f>
        <v>Yes</v>
      </c>
    </row>
    <row r="951" spans="1:16" x14ac:dyDescent="0.25">
      <c r="A951" s="2" t="s">
        <v>5855</v>
      </c>
      <c r="B951" s="3">
        <v>44449</v>
      </c>
      <c r="C951" s="2" t="s">
        <v>5856</v>
      </c>
      <c r="D951" t="s">
        <v>6142</v>
      </c>
      <c r="E951" s="2">
        <v>4</v>
      </c>
      <c r="F951" s="2" t="str">
        <f>_xlfn.XLOOKUP(orders!C951,customers!$A$2:$A$1001,customers!$B$2:$B$1001)</f>
        <v>Gwenni Ratt</v>
      </c>
      <c r="G951" s="2" t="str">
        <f>IF(_xlfn.XLOOKUP(C951,customers!$A$2:$A$1001,customers!$C$2:$C$1001,,)=0,"",_xlfn.XLOOKUP(C951,customers!$A$2:$A$1001,customers!$C$2:$C$1001,,))</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cm="1">
        <f t="array" ref="N951">_xlfn.IFS(I951="Rob","Robusta",I951="Exc","Excelsa",I951="Ara","Arabica",I951="Lib","Liberica")</f>
        <v>Robusta</v>
      </c>
      <c r="O951" t="str" cm="1">
        <f t="array" ref="O951">_xlfn.IFS(J951="M","Medium",J951="L","Light",J951="D","Dark")</f>
        <v>Light</v>
      </c>
      <c r="P951" t="str">
        <f>_xlfn.XLOOKUP(Orders[[#This Row],[Customer ID]],customers!$A$1:$A$1001,customers!$I$1:$I$1001,,0)</f>
        <v>No</v>
      </c>
    </row>
    <row r="952" spans="1:16" x14ac:dyDescent="0.25">
      <c r="A952" s="2" t="s">
        <v>5861</v>
      </c>
      <c r="B952" s="3">
        <v>44703</v>
      </c>
      <c r="C952" s="2" t="s">
        <v>5862</v>
      </c>
      <c r="D952" t="s">
        <v>6178</v>
      </c>
      <c r="E952" s="2">
        <v>4</v>
      </c>
      <c r="F952" s="2" t="str">
        <f>_xlfn.XLOOKUP(orders!C952,customers!$A$2:$A$1001,customers!$B$2:$B$1001)</f>
        <v>Johnath Fairebrother</v>
      </c>
      <c r="G952" s="2" t="str">
        <f>IF(_xlfn.XLOOKUP(C952,customers!$A$2:$A$1001,customers!$C$2:$C$1001,,)=0,"",_xlfn.XLOOKUP(C952,customers!$A$2:$A$1001,customers!$C$2:$C$1001,,))</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cm="1">
        <f t="array" ref="N952">_xlfn.IFS(I952="Rob","Robusta",I952="Exc","Excelsa",I952="Ara","Arabica",I952="Lib","Liberica")</f>
        <v>Robusta</v>
      </c>
      <c r="O952" t="str" cm="1">
        <f t="array" ref="O952">_xlfn.IFS(J952="M","Medium",J952="L","Light",J952="D","Dark")</f>
        <v>Light</v>
      </c>
      <c r="P952" t="str">
        <f>_xlfn.XLOOKUP(Orders[[#This Row],[Customer ID]],customers!$A$1:$A$1001,customers!$I$1:$I$1001,,0)</f>
        <v>Yes</v>
      </c>
    </row>
    <row r="953" spans="1:16" x14ac:dyDescent="0.25">
      <c r="A953" s="2" t="s">
        <v>5866</v>
      </c>
      <c r="B953" s="3">
        <v>44092</v>
      </c>
      <c r="C953" s="2" t="s">
        <v>5867</v>
      </c>
      <c r="D953" t="s">
        <v>6178</v>
      </c>
      <c r="E953" s="2">
        <v>6</v>
      </c>
      <c r="F953" s="2" t="str">
        <f>_xlfn.XLOOKUP(orders!C953,customers!$A$2:$A$1001,customers!$B$2:$B$1001)</f>
        <v>Ingamar Eberlein</v>
      </c>
      <c r="G953" s="2" t="str">
        <f>IF(_xlfn.XLOOKUP(C953,customers!$A$2:$A$1001,customers!$C$2:$C$1001,,)=0,"",_xlfn.XLOOKUP(C953,customers!$A$2:$A$1001,customers!$C$2:$C$1001,,))</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cm="1">
        <f t="array" ref="N953">_xlfn.IFS(I953="Rob","Robusta",I953="Exc","Excelsa",I953="Ara","Arabica",I953="Lib","Liberica")</f>
        <v>Robusta</v>
      </c>
      <c r="O953" t="str" cm="1">
        <f t="array" ref="O953">_xlfn.IFS(J953="M","Medium",J953="L","Light",J953="D","Dark")</f>
        <v>Light</v>
      </c>
      <c r="P953" t="str">
        <f>_xlfn.XLOOKUP(Orders[[#This Row],[Customer ID]],customers!$A$1:$A$1001,customers!$I$1:$I$1001,,0)</f>
        <v>No</v>
      </c>
    </row>
    <row r="954" spans="1:16" x14ac:dyDescent="0.25">
      <c r="A954" s="2" t="s">
        <v>5872</v>
      </c>
      <c r="B954" s="3">
        <v>44439</v>
      </c>
      <c r="C954" s="2" t="s">
        <v>5873</v>
      </c>
      <c r="D954" t="s">
        <v>6155</v>
      </c>
      <c r="E954" s="2">
        <v>2</v>
      </c>
      <c r="F954" s="2" t="str">
        <f>_xlfn.XLOOKUP(orders!C954,customers!$A$2:$A$1001,customers!$B$2:$B$1001)</f>
        <v>Jilly Dreng</v>
      </c>
      <c r="G954" s="2" t="str">
        <f>IF(_xlfn.XLOOKUP(C954,customers!$A$2:$A$1001,customers!$C$2:$C$1001,,)=0,"",_xlfn.XLOOKUP(C954,customers!$A$2:$A$1001,customers!$C$2:$C$1001,,))</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cm="1">
        <f t="array" ref="N954">_xlfn.IFS(I954="Rob","Robusta",I954="Exc","Excelsa",I954="Ara","Arabica",I954="Lib","Liberica")</f>
        <v>Arabica</v>
      </c>
      <c r="O954" t="str" cm="1">
        <f t="array" ref="O954">_xlfn.IFS(J954="M","Medium",J954="L","Light",J954="D","Dark")</f>
        <v>Medium</v>
      </c>
      <c r="P954" t="str">
        <f>_xlfn.XLOOKUP(Orders[[#This Row],[Customer ID]],customers!$A$1:$A$1001,customers!$I$1:$I$1001,,0)</f>
        <v>Yes</v>
      </c>
    </row>
    <row r="955" spans="1:16" x14ac:dyDescent="0.25">
      <c r="A955" s="2" t="s">
        <v>5878</v>
      </c>
      <c r="B955" s="3">
        <v>44582</v>
      </c>
      <c r="C955" s="2" t="s">
        <v>5764</v>
      </c>
      <c r="D955" t="s">
        <v>6167</v>
      </c>
      <c r="E955" s="2">
        <v>1</v>
      </c>
      <c r="F955" s="2" t="str">
        <f>_xlfn.XLOOKUP(orders!C955,customers!$A$2:$A$1001,customers!$B$2:$B$1001)</f>
        <v>Brenn Dundredge</v>
      </c>
      <c r="G955" s="2" t="str">
        <f>IF(_xlfn.XLOOKUP(C955,customers!$A$2:$A$1001,customers!$C$2:$C$1001,,)=0,"",_xlfn.XLOOKUP(C955,customers!$A$2:$A$1001,customers!$C$2:$C$1001,,))</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cm="1">
        <f t="array" ref="N955">_xlfn.IFS(I955="Rob","Robusta",I955="Exc","Excelsa",I955="Ara","Arabica",I955="Lib","Liberica")</f>
        <v>Arabica</v>
      </c>
      <c r="O955" t="str" cm="1">
        <f t="array" ref="O955">_xlfn.IFS(J955="M","Medium",J955="L","Light",J955="D","Dark")</f>
        <v>Light</v>
      </c>
      <c r="P955" t="str">
        <f>_xlfn.XLOOKUP(Orders[[#This Row],[Customer ID]],customers!$A$1:$A$1001,customers!$I$1:$I$1001,,0)</f>
        <v>Yes</v>
      </c>
    </row>
    <row r="956" spans="1:16" x14ac:dyDescent="0.25">
      <c r="A956" s="2" t="s">
        <v>5884</v>
      </c>
      <c r="B956" s="3">
        <v>44722</v>
      </c>
      <c r="C956" s="2" t="s">
        <v>5764</v>
      </c>
      <c r="D956" t="s">
        <v>6185</v>
      </c>
      <c r="E956" s="2">
        <v>1</v>
      </c>
      <c r="F956" s="2" t="str">
        <f>_xlfn.XLOOKUP(orders!C956,customers!$A$2:$A$1001,customers!$B$2:$B$1001)</f>
        <v>Brenn Dundredge</v>
      </c>
      <c r="G956" s="2" t="str">
        <f>IF(_xlfn.XLOOKUP(C956,customers!$A$2:$A$1001,customers!$C$2:$C$1001,,)=0,"",_xlfn.XLOOKUP(C956,customers!$A$2:$A$1001,customers!$C$2:$C$1001,,))</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cm="1">
        <f t="array" ref="N956">_xlfn.IFS(I956="Rob","Robusta",I956="Exc","Excelsa",I956="Ara","Arabica",I956="Lib","Liberica")</f>
        <v>Excelsa</v>
      </c>
      <c r="O956" t="str" cm="1">
        <f t="array" ref="O956">_xlfn.IFS(J956="M","Medium",J956="L","Light",J956="D","Dark")</f>
        <v>Dark</v>
      </c>
      <c r="P956" t="str">
        <f>_xlfn.XLOOKUP(Orders[[#This Row],[Customer ID]],customers!$A$1:$A$1001,customers!$I$1:$I$1001,,0)</f>
        <v>Yes</v>
      </c>
    </row>
    <row r="957" spans="1:16" x14ac:dyDescent="0.25">
      <c r="A957" s="2" t="s">
        <v>5890</v>
      </c>
      <c r="B957" s="3">
        <v>43582</v>
      </c>
      <c r="C957" s="2" t="s">
        <v>5764</v>
      </c>
      <c r="D957" t="s">
        <v>6148</v>
      </c>
      <c r="E957" s="2">
        <v>5</v>
      </c>
      <c r="F957" s="2" t="str">
        <f>_xlfn.XLOOKUP(orders!C957,customers!$A$2:$A$1001,customers!$B$2:$B$1001)</f>
        <v>Brenn Dundredge</v>
      </c>
      <c r="G957" s="2" t="str">
        <f>IF(_xlfn.XLOOKUP(C957,customers!$A$2:$A$1001,customers!$C$2:$C$1001,,)=0,"",_xlfn.XLOOKUP(C957,customers!$A$2:$A$1001,customers!$C$2:$C$1001,,))</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cm="1">
        <f t="array" ref="N957">_xlfn.IFS(I957="Rob","Robusta",I957="Exc","Excelsa",I957="Ara","Arabica",I957="Lib","Liberica")</f>
        <v>Excelsa</v>
      </c>
      <c r="O957" t="str" cm="1">
        <f t="array" ref="O957">_xlfn.IFS(J957="M","Medium",J957="L","Light",J957="D","Dark")</f>
        <v>Light</v>
      </c>
      <c r="P957" t="str">
        <f>_xlfn.XLOOKUP(Orders[[#This Row],[Customer ID]],customers!$A$1:$A$1001,customers!$I$1:$I$1001,,0)</f>
        <v>Yes</v>
      </c>
    </row>
    <row r="958" spans="1:16" x14ac:dyDescent="0.25">
      <c r="A958" s="2" t="s">
        <v>5890</v>
      </c>
      <c r="B958" s="3">
        <v>43582</v>
      </c>
      <c r="C958" s="2" t="s">
        <v>5764</v>
      </c>
      <c r="D958" t="s">
        <v>6142</v>
      </c>
      <c r="E958" s="2">
        <v>2</v>
      </c>
      <c r="F958" s="2" t="str">
        <f>_xlfn.XLOOKUP(orders!C958,customers!$A$2:$A$1001,customers!$B$2:$B$1001)</f>
        <v>Brenn Dundredge</v>
      </c>
      <c r="G958" s="2" t="str">
        <f>IF(_xlfn.XLOOKUP(C958,customers!$A$2:$A$1001,customers!$C$2:$C$1001,,)=0,"",_xlfn.XLOOKUP(C958,customers!$A$2:$A$1001,customers!$C$2:$C$1001,,))</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cm="1">
        <f t="array" ref="N958">_xlfn.IFS(I958="Rob","Robusta",I958="Exc","Excelsa",I958="Ara","Arabica",I958="Lib","Liberica")</f>
        <v>Robusta</v>
      </c>
      <c r="O958" t="str" cm="1">
        <f t="array" ref="O958">_xlfn.IFS(J958="M","Medium",J958="L","Light",J958="D","Dark")</f>
        <v>Light</v>
      </c>
      <c r="P958" t="str">
        <f>_xlfn.XLOOKUP(Orders[[#This Row],[Customer ID]],customers!$A$1:$A$1001,customers!$I$1:$I$1001,,0)</f>
        <v>Yes</v>
      </c>
    </row>
    <row r="959" spans="1:16" x14ac:dyDescent="0.25">
      <c r="A959" s="2" t="s">
        <v>5890</v>
      </c>
      <c r="B959" s="3">
        <v>43582</v>
      </c>
      <c r="C959" s="2" t="s">
        <v>5764</v>
      </c>
      <c r="D959" t="s">
        <v>6171</v>
      </c>
      <c r="E959" s="2">
        <v>1</v>
      </c>
      <c r="F959" s="2" t="str">
        <f>_xlfn.XLOOKUP(orders!C959,customers!$A$2:$A$1001,customers!$B$2:$B$1001)</f>
        <v>Brenn Dundredge</v>
      </c>
      <c r="G959" s="2" t="str">
        <f>IF(_xlfn.XLOOKUP(C959,customers!$A$2:$A$1001,customers!$C$2:$C$1001,,)=0,"",_xlfn.XLOOKUP(C959,customers!$A$2:$A$1001,customers!$C$2:$C$1001,,))</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cm="1">
        <f t="array" ref="N959">_xlfn.IFS(I959="Rob","Robusta",I959="Exc","Excelsa",I959="Ara","Arabica",I959="Lib","Liberica")</f>
        <v>Excelsa</v>
      </c>
      <c r="O959" t="str" cm="1">
        <f t="array" ref="O959">_xlfn.IFS(J959="M","Medium",J959="L","Light",J959="D","Dark")</f>
        <v>Light</v>
      </c>
      <c r="P959" t="str">
        <f>_xlfn.XLOOKUP(Orders[[#This Row],[Customer ID]],customers!$A$1:$A$1001,customers!$I$1:$I$1001,,0)</f>
        <v>Yes</v>
      </c>
    </row>
    <row r="960" spans="1:16" x14ac:dyDescent="0.25">
      <c r="A960" s="2" t="s">
        <v>5890</v>
      </c>
      <c r="B960" s="3">
        <v>43582</v>
      </c>
      <c r="C960" s="2" t="s">
        <v>5764</v>
      </c>
      <c r="D960" t="s">
        <v>6167</v>
      </c>
      <c r="E960" s="2">
        <v>2</v>
      </c>
      <c r="F960" s="2" t="str">
        <f>_xlfn.XLOOKUP(orders!C960,customers!$A$2:$A$1001,customers!$B$2:$B$1001)</f>
        <v>Brenn Dundredge</v>
      </c>
      <c r="G960" s="2" t="str">
        <f>IF(_xlfn.XLOOKUP(C960,customers!$A$2:$A$1001,customers!$C$2:$C$1001,,)=0,"",_xlfn.XLOOKUP(C960,customers!$A$2:$A$1001,customers!$C$2:$C$1001,,))</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cm="1">
        <f t="array" ref="N960">_xlfn.IFS(I960="Rob","Robusta",I960="Exc","Excelsa",I960="Ara","Arabica",I960="Lib","Liberica")</f>
        <v>Arabica</v>
      </c>
      <c r="O960" t="str" cm="1">
        <f t="array" ref="O960">_xlfn.IFS(J960="M","Medium",J960="L","Light",J960="D","Dark")</f>
        <v>Light</v>
      </c>
      <c r="P960" t="str">
        <f>_xlfn.XLOOKUP(Orders[[#This Row],[Customer ID]],customers!$A$1:$A$1001,customers!$I$1:$I$1001,,0)</f>
        <v>Yes</v>
      </c>
    </row>
    <row r="961" spans="1:16" x14ac:dyDescent="0.25">
      <c r="A961" s="2" t="s">
        <v>5910</v>
      </c>
      <c r="B961" s="3">
        <v>44598</v>
      </c>
      <c r="C961" s="2" t="s">
        <v>5911</v>
      </c>
      <c r="D961" t="s">
        <v>6145</v>
      </c>
      <c r="E961" s="2">
        <v>5</v>
      </c>
      <c r="F961" s="2" t="str">
        <f>_xlfn.XLOOKUP(orders!C961,customers!$A$2:$A$1001,customers!$B$2:$B$1001)</f>
        <v>Rhodie Strathern</v>
      </c>
      <c r="G961" s="2" t="str">
        <f>IF(_xlfn.XLOOKUP(C961,customers!$A$2:$A$1001,customers!$C$2:$C$1001,,)=0,"",_xlfn.XLOOKUP(C961,customers!$A$2:$A$1001,customers!$C$2:$C$1001,,))</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cm="1">
        <f t="array" ref="N961">_xlfn.IFS(I961="Rob","Robusta",I961="Exc","Excelsa",I961="Ara","Arabica",I961="Lib","Liberica")</f>
        <v>Liberica</v>
      </c>
      <c r="O961" t="str" cm="1">
        <f t="array" ref="O961">_xlfn.IFS(J961="M","Medium",J961="L","Light",J961="D","Dark")</f>
        <v>Light</v>
      </c>
      <c r="P961" t="str">
        <f>_xlfn.XLOOKUP(Orders[[#This Row],[Customer ID]],customers!$A$1:$A$1001,customers!$I$1:$I$1001,,0)</f>
        <v>Yes</v>
      </c>
    </row>
    <row r="962" spans="1:16" x14ac:dyDescent="0.25">
      <c r="A962" s="2" t="s">
        <v>5915</v>
      </c>
      <c r="B962" s="3">
        <v>44591</v>
      </c>
      <c r="C962" s="2" t="s">
        <v>5916</v>
      </c>
      <c r="D962" t="s">
        <v>6170</v>
      </c>
      <c r="E962" s="2">
        <v>5</v>
      </c>
      <c r="F962" s="2" t="str">
        <f>_xlfn.XLOOKUP(orders!C962,customers!$A$2:$A$1001,customers!$B$2:$B$1001)</f>
        <v>Chad Miguel</v>
      </c>
      <c r="G962" s="2" t="str">
        <f>IF(_xlfn.XLOOKUP(C962,customers!$A$2:$A$1001,customers!$C$2:$C$1001,,)=0,"",_xlfn.XLOOKUP(C962,customers!$A$2:$A$1001,customers!$C$2:$C$1001,,))</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cm="1">
        <f t="array" ref="N962">_xlfn.IFS(I962="Rob","Robusta",I962="Exc","Excelsa",I962="Ara","Arabica",I962="Lib","Liberica")</f>
        <v>Liberica</v>
      </c>
      <c r="O962" t="str" cm="1">
        <f t="array" ref="O962">_xlfn.IFS(J962="M","Medium",J962="L","Light",J962="D","Dark")</f>
        <v>Light</v>
      </c>
      <c r="P962" t="str">
        <f>_xlfn.XLOOKUP(Orders[[#This Row],[Customer ID]],customers!$A$1:$A$1001,customers!$I$1:$I$1001,,0)</f>
        <v>Yes</v>
      </c>
    </row>
    <row r="963" spans="1:16" x14ac:dyDescent="0.25">
      <c r="A963" s="2" t="s">
        <v>5921</v>
      </c>
      <c r="B963" s="3">
        <v>44158</v>
      </c>
      <c r="C963" s="2" t="s">
        <v>5922</v>
      </c>
      <c r="D963" t="s">
        <v>6168</v>
      </c>
      <c r="E963" s="2">
        <v>2</v>
      </c>
      <c r="F963" s="2" t="str">
        <f>_xlfn.XLOOKUP(orders!C963,customers!$A$2:$A$1001,customers!$B$2:$B$1001)</f>
        <v>Florinda Matusovsky</v>
      </c>
      <c r="G963" s="2" t="str">
        <f>IF(_xlfn.XLOOKUP(C963,customers!$A$2:$A$1001,customers!$C$2:$C$1001,,)=0,"",_xlfn.XLOOKUP(C963,customers!$A$2:$A$1001,customers!$C$2:$C$1001,,))</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L963*E963</f>
        <v>45.769999999999996</v>
      </c>
      <c r="N963" t="str" cm="1">
        <f t="array" ref="N963">_xlfn.IFS(I963="Rob","Robusta",I963="Exc","Excelsa",I963="Ara","Arabica",I963="Lib","Liberica")</f>
        <v>Arabica</v>
      </c>
      <c r="O963" t="str" cm="1">
        <f t="array" ref="O963">_xlfn.IFS(J963="M","Medium",J963="L","Light",J963="D","Dark")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_xlfn.XLOOKUP(orders!C964,customers!$A$2:$A$1001,customers!$B$2:$B$1001)</f>
        <v>Morly Rocks</v>
      </c>
      <c r="G964" s="2" t="str">
        <f>IF(_xlfn.XLOOKUP(C964,customers!$A$2:$A$1001,customers!$C$2:$C$1001,,)=0,"",_xlfn.XLOOKUP(C964,customers!$A$2:$A$1001,customers!$C$2:$C$1001,,))</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cm="1">
        <f t="array" ref="N964">_xlfn.IFS(I964="Rob","Robusta",I964="Exc","Excelsa",I964="Ara","Arabica",I964="Lib","Liberica")</f>
        <v>Robusta</v>
      </c>
      <c r="O964" t="str" cm="1">
        <f t="array" ref="O964">_xlfn.IFS(J964="M","Medium",J964="L","Light",J964="D","Dark")</f>
        <v>Dark</v>
      </c>
      <c r="P964" t="str">
        <f>_xlfn.XLOOKUP(Orders[[#This Row],[Customer ID]],customers!$A$1:$A$1001,customers!$I$1:$I$1001,,0)</f>
        <v>Yes</v>
      </c>
    </row>
    <row r="965" spans="1:16" x14ac:dyDescent="0.25">
      <c r="A965" s="2" t="s">
        <v>5932</v>
      </c>
      <c r="B965" s="3">
        <v>44203</v>
      </c>
      <c r="C965" s="2" t="s">
        <v>5933</v>
      </c>
      <c r="D965" t="s">
        <v>6146</v>
      </c>
      <c r="E965" s="2">
        <v>4</v>
      </c>
      <c r="F965" s="2" t="str">
        <f>_xlfn.XLOOKUP(orders!C965,customers!$A$2:$A$1001,customers!$B$2:$B$1001)</f>
        <v>Yuri Burrells</v>
      </c>
      <c r="G965" s="2" t="str">
        <f>IF(_xlfn.XLOOKUP(C965,customers!$A$2:$A$1001,customers!$C$2:$C$1001,,)=0,"",_xlfn.XLOOKUP(C965,customers!$A$2:$A$1001,customers!$C$2:$C$1001,,))</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cm="1">
        <f t="array" ref="N965">_xlfn.IFS(I965="Rob","Robusta",I965="Exc","Excelsa",I965="Ara","Arabica",I965="Lib","Liberica")</f>
        <v>Robusta</v>
      </c>
      <c r="O965" t="str" cm="1">
        <f t="array" ref="O965">_xlfn.IFS(J965="M","Medium",J965="L","Light",J965="D","Dark")</f>
        <v>Medium</v>
      </c>
      <c r="P965" t="str">
        <f>_xlfn.XLOOKUP(Orders[[#This Row],[Customer ID]],customers!$A$1:$A$1001,customers!$I$1:$I$1001,,0)</f>
        <v>Yes</v>
      </c>
    </row>
    <row r="966" spans="1:16" x14ac:dyDescent="0.25">
      <c r="A966" s="2" t="s">
        <v>5938</v>
      </c>
      <c r="B966" s="3">
        <v>43865</v>
      </c>
      <c r="C966" s="2" t="s">
        <v>5939</v>
      </c>
      <c r="D966" t="s">
        <v>6184</v>
      </c>
      <c r="E966" s="2">
        <v>5</v>
      </c>
      <c r="F966" s="2" t="str">
        <f>_xlfn.XLOOKUP(orders!C966,customers!$A$2:$A$1001,customers!$B$2:$B$1001)</f>
        <v>Cleopatra Goodrum</v>
      </c>
      <c r="G966" s="2" t="str">
        <f>IF(_xlfn.XLOOKUP(C966,customers!$A$2:$A$1001,customers!$C$2:$C$1001,,)=0,"",_xlfn.XLOOKUP(C966,customers!$A$2:$A$1001,customers!$C$2:$C$1001,,))</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cm="1">
        <f t="array" ref="N966">_xlfn.IFS(I966="Rob","Robusta",I966="Exc","Excelsa",I966="Ara","Arabica",I966="Lib","Liberica")</f>
        <v>Excelsa</v>
      </c>
      <c r="O966" t="str" cm="1">
        <f t="array" ref="O966">_xlfn.IFS(J966="M","Medium",J966="L","Light",J966="D","Dark")</f>
        <v>Light</v>
      </c>
      <c r="P966" t="str">
        <f>_xlfn.XLOOKUP(Orders[[#This Row],[Customer ID]],customers!$A$1:$A$1001,customers!$I$1:$I$1001,,0)</f>
        <v>No</v>
      </c>
    </row>
    <row r="967" spans="1:16" x14ac:dyDescent="0.25">
      <c r="A967" s="2" t="s">
        <v>5944</v>
      </c>
      <c r="B967" s="3">
        <v>43724</v>
      </c>
      <c r="C967" s="2" t="s">
        <v>5945</v>
      </c>
      <c r="D967" t="s">
        <v>6138</v>
      </c>
      <c r="E967" s="2">
        <v>3</v>
      </c>
      <c r="F967" s="2" t="str">
        <f>_xlfn.XLOOKUP(orders!C967,customers!$A$2:$A$1001,customers!$B$2:$B$1001)</f>
        <v>Joey Jefferys</v>
      </c>
      <c r="G967" s="2" t="str">
        <f>IF(_xlfn.XLOOKUP(C967,customers!$A$2:$A$1001,customers!$C$2:$C$1001,,)=0,"",_xlfn.XLOOKUP(C967,customers!$A$2:$A$1001,customers!$C$2:$C$1001,,))</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cm="1">
        <f t="array" ref="N967">_xlfn.IFS(I967="Rob","Robusta",I967="Exc","Excelsa",I967="Ara","Arabica",I967="Lib","Liberica")</f>
        <v>Robusta</v>
      </c>
      <c r="O967" t="str" cm="1">
        <f t="array" ref="O967">_xlfn.IFS(J967="M","Medium",J967="L","Light",J967="D","Dark")</f>
        <v>Medium</v>
      </c>
      <c r="P967" t="str">
        <f>_xlfn.XLOOKUP(Orders[[#This Row],[Customer ID]],customers!$A$1:$A$1001,customers!$I$1:$I$1001,,0)</f>
        <v>Yes</v>
      </c>
    </row>
    <row r="968" spans="1:16" x14ac:dyDescent="0.25">
      <c r="A968" s="2" t="s">
        <v>5949</v>
      </c>
      <c r="B968" s="3">
        <v>43491</v>
      </c>
      <c r="C968" s="2" t="s">
        <v>5950</v>
      </c>
      <c r="D968" t="s">
        <v>6176</v>
      </c>
      <c r="E968" s="2">
        <v>6</v>
      </c>
      <c r="F968" s="2" t="str">
        <f>_xlfn.XLOOKUP(orders!C968,customers!$A$2:$A$1001,customers!$B$2:$B$1001)</f>
        <v>Bearnard Wardell</v>
      </c>
      <c r="G968" s="2" t="str">
        <f>IF(_xlfn.XLOOKUP(C968,customers!$A$2:$A$1001,customers!$C$2:$C$1001,,)=0,"",_xlfn.XLOOKUP(C968,customers!$A$2:$A$1001,customers!$C$2:$C$1001,,))</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cm="1">
        <f t="array" ref="N968">_xlfn.IFS(I968="Rob","Robusta",I968="Exc","Excelsa",I968="Ara","Arabica",I968="Lib","Liberica")</f>
        <v>Excelsa</v>
      </c>
      <c r="O968" t="str" cm="1">
        <f t="array" ref="O968">_xlfn.IFS(J968="M","Medium",J968="L","Light",J968="D","Dark")</f>
        <v>Light</v>
      </c>
      <c r="P968" t="str">
        <f>_xlfn.XLOOKUP(Orders[[#This Row],[Customer ID]],customers!$A$1:$A$1001,customers!$I$1:$I$1001,,0)</f>
        <v>Yes</v>
      </c>
    </row>
    <row r="969" spans="1:16" x14ac:dyDescent="0.25">
      <c r="A969" s="2" t="s">
        <v>5955</v>
      </c>
      <c r="B969" s="3">
        <v>44246</v>
      </c>
      <c r="C969" s="2" t="s">
        <v>5956</v>
      </c>
      <c r="D969" t="s">
        <v>6163</v>
      </c>
      <c r="E969" s="2">
        <v>1</v>
      </c>
      <c r="F969" s="2" t="str">
        <f>_xlfn.XLOOKUP(orders!C969,customers!$A$2:$A$1001,customers!$B$2:$B$1001)</f>
        <v>Zeke Walisiak</v>
      </c>
      <c r="G969" s="2" t="str">
        <f>IF(_xlfn.XLOOKUP(C969,customers!$A$2:$A$1001,customers!$C$2:$C$1001,,)=0,"",_xlfn.XLOOKUP(C969,customers!$A$2:$A$1001,customers!$C$2:$C$1001,,))</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cm="1">
        <f t="array" ref="N969">_xlfn.IFS(I969="Rob","Robusta",I969="Exc","Excelsa",I969="Ara","Arabica",I969="Lib","Liberica")</f>
        <v>Robusta</v>
      </c>
      <c r="O969" t="str" cm="1">
        <f t="array" ref="O969">_xlfn.IFS(J969="M","Medium",J969="L","Light",J969="D","Dark")</f>
        <v>Dark</v>
      </c>
      <c r="P969" t="str">
        <f>_xlfn.XLOOKUP(Orders[[#This Row],[Customer ID]],customers!$A$1:$A$1001,customers!$I$1:$I$1001,,0)</f>
        <v>Yes</v>
      </c>
    </row>
    <row r="970" spans="1:16" x14ac:dyDescent="0.25">
      <c r="A970" s="2" t="s">
        <v>5961</v>
      </c>
      <c r="B970" s="3">
        <v>44642</v>
      </c>
      <c r="C970" s="2" t="s">
        <v>5962</v>
      </c>
      <c r="D970" t="s">
        <v>6174</v>
      </c>
      <c r="E970" s="2">
        <v>2</v>
      </c>
      <c r="F970" s="2" t="str">
        <f>_xlfn.XLOOKUP(orders!C970,customers!$A$2:$A$1001,customers!$B$2:$B$1001)</f>
        <v>Wiley Leopold</v>
      </c>
      <c r="G970" s="2" t="str">
        <f>IF(_xlfn.XLOOKUP(C970,customers!$A$2:$A$1001,customers!$C$2:$C$1001,,)=0,"",_xlfn.XLOOKUP(C970,customers!$A$2:$A$1001,customers!$C$2:$C$1001,,))</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cm="1">
        <f t="array" ref="N970">_xlfn.IFS(I970="Rob","Robusta",I970="Exc","Excelsa",I970="Ara","Arabica",I970="Lib","Liberica")</f>
        <v>Robusta</v>
      </c>
      <c r="O970" t="str" cm="1">
        <f t="array" ref="O970">_xlfn.IFS(J970="M","Medium",J970="L","Light",J970="D","Dark")</f>
        <v>Medium</v>
      </c>
      <c r="P970" t="str">
        <f>_xlfn.XLOOKUP(Orders[[#This Row],[Customer ID]],customers!$A$1:$A$1001,customers!$I$1:$I$1001,,0)</f>
        <v>No</v>
      </c>
    </row>
    <row r="971" spans="1:16" x14ac:dyDescent="0.25">
      <c r="A971" s="2" t="s">
        <v>5967</v>
      </c>
      <c r="B971" s="3">
        <v>43649</v>
      </c>
      <c r="C971" s="2" t="s">
        <v>5968</v>
      </c>
      <c r="D971" t="s">
        <v>6143</v>
      </c>
      <c r="E971" s="2">
        <v>1</v>
      </c>
      <c r="F971" s="2" t="str">
        <f>_xlfn.XLOOKUP(orders!C971,customers!$A$2:$A$1001,customers!$B$2:$B$1001)</f>
        <v>Chiarra Shalders</v>
      </c>
      <c r="G971" s="2" t="str">
        <f>IF(_xlfn.XLOOKUP(C971,customers!$A$2:$A$1001,customers!$C$2:$C$1001,,)=0,"",_xlfn.XLOOKUP(C971,customers!$A$2:$A$1001,customers!$C$2:$C$1001,,))</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cm="1">
        <f t="array" ref="N971">_xlfn.IFS(I971="Rob","Robusta",I971="Exc","Excelsa",I971="Ara","Arabica",I971="Lib","Liberica")</f>
        <v>Liberica</v>
      </c>
      <c r="O971" t="str" cm="1">
        <f t="array" ref="O971">_xlfn.IFS(J971="M","Medium",J971="L","Light",J971="D","Dark")</f>
        <v>Dark</v>
      </c>
      <c r="P971" t="str">
        <f>_xlfn.XLOOKUP(Orders[[#This Row],[Customer ID]],customers!$A$1:$A$1001,customers!$I$1:$I$1001,,0)</f>
        <v>Yes</v>
      </c>
    </row>
    <row r="972" spans="1:16" x14ac:dyDescent="0.25">
      <c r="A972" s="2" t="s">
        <v>5973</v>
      </c>
      <c r="B972" s="3">
        <v>43729</v>
      </c>
      <c r="C972" s="2" t="s">
        <v>5974</v>
      </c>
      <c r="D972" t="s">
        <v>6139</v>
      </c>
      <c r="E972" s="2">
        <v>1</v>
      </c>
      <c r="F972" s="2" t="str">
        <f>_xlfn.XLOOKUP(orders!C972,customers!$A$2:$A$1001,customers!$B$2:$B$1001)</f>
        <v>Sharl Southerill</v>
      </c>
      <c r="G972" s="2" t="str">
        <f>IF(_xlfn.XLOOKUP(C972,customers!$A$2:$A$1001,customers!$C$2:$C$1001,,)=0,"",_xlfn.XLOOKUP(C972,customers!$A$2:$A$1001,customers!$C$2:$C$1001,,))</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cm="1">
        <f t="array" ref="N972">_xlfn.IFS(I972="Rob","Robusta",I972="Exc","Excelsa",I972="Ara","Arabica",I972="Lib","Liberica")</f>
        <v>Excelsa</v>
      </c>
      <c r="O972" t="str" cm="1">
        <f t="array" ref="O972">_xlfn.IFS(J972="M","Medium",J972="L","Light",J972="D","Dark")</f>
        <v>Medium</v>
      </c>
      <c r="P972" t="str">
        <f>_xlfn.XLOOKUP(Orders[[#This Row],[Customer ID]],customers!$A$1:$A$1001,customers!$I$1:$I$1001,,0)</f>
        <v>No</v>
      </c>
    </row>
    <row r="973" spans="1:16" x14ac:dyDescent="0.25">
      <c r="A973" s="2" t="s">
        <v>5978</v>
      </c>
      <c r="B973" s="3">
        <v>43703</v>
      </c>
      <c r="C973" s="2" t="s">
        <v>5979</v>
      </c>
      <c r="D973" t="s">
        <v>6182</v>
      </c>
      <c r="E973" s="2">
        <v>5</v>
      </c>
      <c r="F973" s="2" t="str">
        <f>_xlfn.XLOOKUP(orders!C973,customers!$A$2:$A$1001,customers!$B$2:$B$1001)</f>
        <v>Noni Furber</v>
      </c>
      <c r="G973" s="2" t="str">
        <f>IF(_xlfn.XLOOKUP(C973,customers!$A$2:$A$1001,customers!$C$2:$C$1001,,)=0,"",_xlfn.XLOOKUP(C973,customers!$A$2:$A$1001,customers!$C$2:$C$1001,,))</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cm="1">
        <f t="array" ref="N973">_xlfn.IFS(I973="Rob","Robusta",I973="Exc","Excelsa",I973="Ara","Arabica",I973="Lib","Liberica")</f>
        <v>Arabica</v>
      </c>
      <c r="O973" t="str" cm="1">
        <f t="array" ref="O973">_xlfn.IFS(J973="M","Medium",J973="L","Light",J973="D","Dark")</f>
        <v>Light</v>
      </c>
      <c r="P973" t="str">
        <f>_xlfn.XLOOKUP(Orders[[#This Row],[Customer ID]],customers!$A$1:$A$1001,customers!$I$1:$I$1001,,0)</f>
        <v>No</v>
      </c>
    </row>
    <row r="974" spans="1:16" x14ac:dyDescent="0.25">
      <c r="A974" s="2" t="s">
        <v>5984</v>
      </c>
      <c r="B974" s="3">
        <v>44411</v>
      </c>
      <c r="C974" s="2" t="s">
        <v>5985</v>
      </c>
      <c r="D974" t="s">
        <v>6182</v>
      </c>
      <c r="E974" s="2">
        <v>3</v>
      </c>
      <c r="F974" s="2" t="str">
        <f>_xlfn.XLOOKUP(orders!C974,customers!$A$2:$A$1001,customers!$B$2:$B$1001)</f>
        <v>Dinah Crutcher</v>
      </c>
      <c r="G974" s="2" t="str">
        <f>IF(_xlfn.XLOOKUP(C974,customers!$A$2:$A$1001,customers!$C$2:$C$1001,,)=0,"",_xlfn.XLOOKUP(C974,customers!$A$2:$A$1001,customers!$C$2:$C$1001,,))</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cm="1">
        <f t="array" ref="N974">_xlfn.IFS(I974="Rob","Robusta",I974="Exc","Excelsa",I974="Ara","Arabica",I974="Lib","Liberica")</f>
        <v>Arabica</v>
      </c>
      <c r="O974" t="str" cm="1">
        <f t="array" ref="O974">_xlfn.IFS(J974="M","Medium",J974="L","Light",J974="D","Dark")</f>
        <v>Light</v>
      </c>
      <c r="P974" t="str">
        <f>_xlfn.XLOOKUP(Orders[[#This Row],[Customer ID]],customers!$A$1:$A$1001,customers!$I$1:$I$1001,,0)</f>
        <v>Yes</v>
      </c>
    </row>
    <row r="975" spans="1:16" x14ac:dyDescent="0.25">
      <c r="A975" s="2" t="s">
        <v>5989</v>
      </c>
      <c r="B975" s="3">
        <v>44493</v>
      </c>
      <c r="C975" s="2" t="s">
        <v>5990</v>
      </c>
      <c r="D975" t="s">
        <v>6162</v>
      </c>
      <c r="E975" s="2">
        <v>6</v>
      </c>
      <c r="F975" s="2" t="str">
        <f>_xlfn.XLOOKUP(orders!C975,customers!$A$2:$A$1001,customers!$B$2:$B$1001)</f>
        <v>Charlean Keave</v>
      </c>
      <c r="G975" s="2" t="str">
        <f>IF(_xlfn.XLOOKUP(C975,customers!$A$2:$A$1001,customers!$C$2:$C$1001,,)=0,"",_xlfn.XLOOKUP(C975,customers!$A$2:$A$1001,customers!$C$2:$C$1001,,))</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cm="1">
        <f t="array" ref="N975">_xlfn.IFS(I975="Rob","Robusta",I975="Exc","Excelsa",I975="Ara","Arabica",I975="Lib","Liberica")</f>
        <v>Liberica</v>
      </c>
      <c r="O975" t="str" cm="1">
        <f t="array" ref="O975">_xlfn.IFS(J975="M","Medium",J975="L","Light",J975="D","Dark")</f>
        <v>Medium</v>
      </c>
      <c r="P975" t="str">
        <f>_xlfn.XLOOKUP(Orders[[#This Row],[Customer ID]],customers!$A$1:$A$1001,customers!$I$1:$I$1001,,0)</f>
        <v>No</v>
      </c>
    </row>
    <row r="976" spans="1:16" x14ac:dyDescent="0.25">
      <c r="A976" s="2" t="s">
        <v>5995</v>
      </c>
      <c r="B976" s="3">
        <v>43556</v>
      </c>
      <c r="C976" s="2" t="s">
        <v>5996</v>
      </c>
      <c r="D976" t="s">
        <v>6172</v>
      </c>
      <c r="E976" s="2">
        <v>1</v>
      </c>
      <c r="F976" s="2" t="str">
        <f>_xlfn.XLOOKUP(orders!C976,customers!$A$2:$A$1001,customers!$B$2:$B$1001)</f>
        <v>Sada Roseborough</v>
      </c>
      <c r="G976" s="2" t="str">
        <f>IF(_xlfn.XLOOKUP(C976,customers!$A$2:$A$1001,customers!$C$2:$C$1001,,)=0,"",_xlfn.XLOOKUP(C976,customers!$A$2:$A$1001,customers!$C$2:$C$1001,,))</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cm="1">
        <f t="array" ref="N976">_xlfn.IFS(I976="Rob","Robusta",I976="Exc","Excelsa",I976="Ara","Arabica",I976="Lib","Liberica")</f>
        <v>Robusta</v>
      </c>
      <c r="O976" t="str" cm="1">
        <f t="array" ref="O976">_xlfn.IFS(J976="M","Medium",J976="L","Light",J976="D","Dark")</f>
        <v>Dark</v>
      </c>
      <c r="P976" t="str">
        <f>_xlfn.XLOOKUP(Orders[[#This Row],[Customer ID]],customers!$A$1:$A$1001,customers!$I$1:$I$1001,,0)</f>
        <v>Yes</v>
      </c>
    </row>
    <row r="977" spans="1:16" x14ac:dyDescent="0.25">
      <c r="A977" s="2" t="s">
        <v>6001</v>
      </c>
      <c r="B977" s="3">
        <v>44538</v>
      </c>
      <c r="C977" s="2" t="s">
        <v>6002</v>
      </c>
      <c r="D977" t="s">
        <v>6154</v>
      </c>
      <c r="E977" s="2">
        <v>3</v>
      </c>
      <c r="F977" s="2" t="str">
        <f>_xlfn.XLOOKUP(orders!C977,customers!$A$2:$A$1001,customers!$B$2:$B$1001)</f>
        <v>Clayton Kingwell</v>
      </c>
      <c r="G977" s="2" t="str">
        <f>IF(_xlfn.XLOOKUP(C977,customers!$A$2:$A$1001,customers!$C$2:$C$1001,,)=0,"",_xlfn.XLOOKUP(C977,customers!$A$2:$A$1001,customers!$C$2:$C$1001,,))</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cm="1">
        <f t="array" ref="N977">_xlfn.IFS(I977="Rob","Robusta",I977="Exc","Excelsa",I977="Ara","Arabica",I977="Lib","Liberica")</f>
        <v>Arabica</v>
      </c>
      <c r="O977" t="str" cm="1">
        <f t="array" ref="O977">_xlfn.IFS(J977="M","Medium",J977="L","Light",J977="D","Dark")</f>
        <v>Dark</v>
      </c>
      <c r="P977" t="str">
        <f>_xlfn.XLOOKUP(Orders[[#This Row],[Customer ID]],customers!$A$1:$A$1001,customers!$I$1:$I$1001,,0)</f>
        <v>Yes</v>
      </c>
    </row>
    <row r="978" spans="1:16" x14ac:dyDescent="0.25">
      <c r="A978" s="2" t="s">
        <v>6007</v>
      </c>
      <c r="B978" s="3">
        <v>43643</v>
      </c>
      <c r="C978" s="2" t="s">
        <v>6008</v>
      </c>
      <c r="D978" t="s">
        <v>6142</v>
      </c>
      <c r="E978" s="2">
        <v>5</v>
      </c>
      <c r="F978" s="2" t="str">
        <f>_xlfn.XLOOKUP(orders!C978,customers!$A$2:$A$1001,customers!$B$2:$B$1001)</f>
        <v>Kacy Canto</v>
      </c>
      <c r="G978" s="2" t="str">
        <f>IF(_xlfn.XLOOKUP(C978,customers!$A$2:$A$1001,customers!$C$2:$C$1001,,)=0,"",_xlfn.XLOOKUP(C978,customers!$A$2:$A$1001,customers!$C$2:$C$1001,,))</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cm="1">
        <f t="array" ref="N978">_xlfn.IFS(I978="Rob","Robusta",I978="Exc","Excelsa",I978="Ara","Arabica",I978="Lib","Liberica")</f>
        <v>Robusta</v>
      </c>
      <c r="O978" t="str" cm="1">
        <f t="array" ref="O978">_xlfn.IFS(J978="M","Medium",J978="L","Light",J978="D","Dark")</f>
        <v>Light</v>
      </c>
      <c r="P978" t="str">
        <f>_xlfn.XLOOKUP(Orders[[#This Row],[Customer ID]],customers!$A$1:$A$1001,customers!$I$1:$I$1001,,0)</f>
        <v>Yes</v>
      </c>
    </row>
    <row r="979" spans="1:16" x14ac:dyDescent="0.25">
      <c r="A979" s="2" t="s">
        <v>6013</v>
      </c>
      <c r="B979" s="3">
        <v>44026</v>
      </c>
      <c r="C979" s="2" t="s">
        <v>6014</v>
      </c>
      <c r="D979" t="s">
        <v>6179</v>
      </c>
      <c r="E979" s="2">
        <v>5</v>
      </c>
      <c r="F979" s="2" t="str">
        <f>_xlfn.XLOOKUP(orders!C979,customers!$A$2:$A$1001,customers!$B$2:$B$1001)</f>
        <v>Mab Blakemore</v>
      </c>
      <c r="G979" s="2" t="str">
        <f>IF(_xlfn.XLOOKUP(C979,customers!$A$2:$A$1001,customers!$C$2:$C$1001,,)=0,"",_xlfn.XLOOKUP(C979,customers!$A$2:$A$1001,customers!$C$2:$C$1001,,))</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cm="1">
        <f t="array" ref="N979">_xlfn.IFS(I979="Rob","Robusta",I979="Exc","Excelsa",I979="Ara","Arabica",I979="Lib","Liberica")</f>
        <v>Robusta</v>
      </c>
      <c r="O979" t="str" cm="1">
        <f t="array" ref="O979">_xlfn.IFS(J979="M","Medium",J979="L","Light",J979="D","Dark")</f>
        <v>Light</v>
      </c>
      <c r="P979" t="str">
        <f>_xlfn.XLOOKUP(Orders[[#This Row],[Customer ID]],customers!$A$1:$A$1001,customers!$I$1:$I$1001,,0)</f>
        <v>No</v>
      </c>
    </row>
    <row r="980" spans="1:16" x14ac:dyDescent="0.25">
      <c r="A980" s="2" t="s">
        <v>6019</v>
      </c>
      <c r="B980" s="3">
        <v>43913</v>
      </c>
      <c r="C980" s="2" t="s">
        <v>5990</v>
      </c>
      <c r="D980" t="s">
        <v>6180</v>
      </c>
      <c r="E980" s="2">
        <v>3</v>
      </c>
      <c r="F980" s="2" t="str">
        <f>_xlfn.XLOOKUP(orders!C980,customers!$A$2:$A$1001,customers!$B$2:$B$1001)</f>
        <v>Charlean Keave</v>
      </c>
      <c r="G980" s="2" t="str">
        <f>IF(_xlfn.XLOOKUP(C980,customers!$A$2:$A$1001,customers!$C$2:$C$1001,,)=0,"",_xlfn.XLOOKUP(C980,customers!$A$2:$A$1001,customers!$C$2:$C$1001,,))</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cm="1">
        <f t="array" ref="N980">_xlfn.IFS(I980="Rob","Robusta",I980="Exc","Excelsa",I980="Ara","Arabica",I980="Lib","Liberica")</f>
        <v>Arabica</v>
      </c>
      <c r="O980" t="str" cm="1">
        <f t="array" ref="O980">_xlfn.IFS(J980="M","Medium",J980="L","Light",J980="D","Dark")</f>
        <v>Light</v>
      </c>
      <c r="P980" t="str">
        <f>_xlfn.XLOOKUP(Orders[[#This Row],[Customer ID]],customers!$A$1:$A$1001,customers!$I$1:$I$1001,,0)</f>
        <v>No</v>
      </c>
    </row>
    <row r="981" spans="1:16" x14ac:dyDescent="0.25">
      <c r="A981" s="2" t="s">
        <v>6025</v>
      </c>
      <c r="B981" s="3">
        <v>43856</v>
      </c>
      <c r="C981" s="2" t="s">
        <v>6026</v>
      </c>
      <c r="D981" t="s">
        <v>6172</v>
      </c>
      <c r="E981" s="2">
        <v>2</v>
      </c>
      <c r="F981" s="2" t="str">
        <f>_xlfn.XLOOKUP(orders!C981,customers!$A$2:$A$1001,customers!$B$2:$B$1001)</f>
        <v>Javier Causnett</v>
      </c>
      <c r="G981" s="2" t="str">
        <f>IF(_xlfn.XLOOKUP(C981,customers!$A$2:$A$1001,customers!$C$2:$C$1001,,)=0,"",_xlfn.XLOOKUP(C981,customers!$A$2:$A$1001,customers!$C$2:$C$1001,,))</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cm="1">
        <f t="array" ref="N981">_xlfn.IFS(I981="Rob","Robusta",I981="Exc","Excelsa",I981="Ara","Arabica",I981="Lib","Liberica")</f>
        <v>Robusta</v>
      </c>
      <c r="O981" t="str" cm="1">
        <f t="array" ref="O981">_xlfn.IFS(J981="M","Medium",J981="L","Light",J981="D","Dark")</f>
        <v>Dark</v>
      </c>
      <c r="P981" t="str">
        <f>_xlfn.XLOOKUP(Orders[[#This Row],[Customer ID]],customers!$A$1:$A$1001,customers!$I$1:$I$1001,,0)</f>
        <v>No</v>
      </c>
    </row>
    <row r="982" spans="1:16" x14ac:dyDescent="0.25">
      <c r="A982" s="2" t="s">
        <v>6030</v>
      </c>
      <c r="B982" s="3">
        <v>43982</v>
      </c>
      <c r="C982" s="2" t="s">
        <v>6031</v>
      </c>
      <c r="D982" t="s">
        <v>6185</v>
      </c>
      <c r="E982" s="2">
        <v>6</v>
      </c>
      <c r="F982" s="2" t="str">
        <f>_xlfn.XLOOKUP(orders!C982,customers!$A$2:$A$1001,customers!$B$2:$B$1001)</f>
        <v>Demetris Micheli</v>
      </c>
      <c r="G982" s="2" t="str">
        <f>IF(_xlfn.XLOOKUP(C982,customers!$A$2:$A$1001,customers!$C$2:$C$1001,,)=0,"",_xlfn.XLOOKUP(C982,customers!$A$2:$A$1001,customers!$C$2:$C$1001,,))</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cm="1">
        <f t="array" ref="N982">_xlfn.IFS(I982="Rob","Robusta",I982="Exc","Excelsa",I982="Ara","Arabica",I982="Lib","Liberica")</f>
        <v>Excelsa</v>
      </c>
      <c r="O982" t="str" cm="1">
        <f t="array" ref="O982">_xlfn.IFS(J982="M","Medium",J982="L","Light",J982="D","Dark")</f>
        <v>Dark</v>
      </c>
      <c r="P982" t="str">
        <f>_xlfn.XLOOKUP(Orders[[#This Row],[Customer ID]],customers!$A$1:$A$1001,customers!$I$1:$I$1001,,0)</f>
        <v>Yes</v>
      </c>
    </row>
    <row r="983" spans="1:16" x14ac:dyDescent="0.25">
      <c r="A983" s="2" t="s">
        <v>6035</v>
      </c>
      <c r="B983" s="3">
        <v>44397</v>
      </c>
      <c r="C983" s="2" t="s">
        <v>6036</v>
      </c>
      <c r="D983" t="s">
        <v>6153</v>
      </c>
      <c r="E983" s="2">
        <v>6</v>
      </c>
      <c r="F983" s="2" t="str">
        <f>_xlfn.XLOOKUP(orders!C983,customers!$A$2:$A$1001,customers!$B$2:$B$1001)</f>
        <v>Chloette Bernardot</v>
      </c>
      <c r="G983" s="2" t="str">
        <f>IF(_xlfn.XLOOKUP(C983,customers!$A$2:$A$1001,customers!$C$2:$C$1001,,)=0,"",_xlfn.XLOOKUP(C983,customers!$A$2:$A$1001,customers!$C$2:$C$1001,,))</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cm="1">
        <f t="array" ref="N983">_xlfn.IFS(I983="Rob","Robusta",I983="Exc","Excelsa",I983="Ara","Arabica",I983="Lib","Liberica")</f>
        <v>Excelsa</v>
      </c>
      <c r="O983" t="str" cm="1">
        <f t="array" ref="O983">_xlfn.IFS(J983="M","Medium",J983="L","Light",J983="D","Dark")</f>
        <v>Dark</v>
      </c>
      <c r="P983" t="str">
        <f>_xlfn.XLOOKUP(Orders[[#This Row],[Customer ID]],customers!$A$1:$A$1001,customers!$I$1:$I$1001,,0)</f>
        <v>Yes</v>
      </c>
    </row>
    <row r="984" spans="1:16" x14ac:dyDescent="0.25">
      <c r="A984" s="2" t="s">
        <v>6041</v>
      </c>
      <c r="B984" s="3">
        <v>44785</v>
      </c>
      <c r="C984" s="2" t="s">
        <v>6042</v>
      </c>
      <c r="D984" t="s">
        <v>6179</v>
      </c>
      <c r="E984" s="2">
        <v>2</v>
      </c>
      <c r="F984" s="2" t="str">
        <f>_xlfn.XLOOKUP(orders!C984,customers!$A$2:$A$1001,customers!$B$2:$B$1001)</f>
        <v>Kim Kemery</v>
      </c>
      <c r="G984" s="2" t="str">
        <f>IF(_xlfn.XLOOKUP(C984,customers!$A$2:$A$1001,customers!$C$2:$C$1001,,)=0,"",_xlfn.XLOOKUP(C984,customers!$A$2:$A$1001,customers!$C$2:$C$1001,,))</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cm="1">
        <f t="array" ref="N984">_xlfn.IFS(I984="Rob","Robusta",I984="Exc","Excelsa",I984="Ara","Arabica",I984="Lib","Liberica")</f>
        <v>Robusta</v>
      </c>
      <c r="O984" t="str" cm="1">
        <f t="array" ref="O984">_xlfn.IFS(J984="M","Medium",J984="L","Light",J984="D","Dark")</f>
        <v>Light</v>
      </c>
      <c r="P984" t="str">
        <f>_xlfn.XLOOKUP(Orders[[#This Row],[Customer ID]],customers!$A$1:$A$1001,customers!$I$1:$I$1001,,0)</f>
        <v>Yes</v>
      </c>
    </row>
    <row r="985" spans="1:16" x14ac:dyDescent="0.25">
      <c r="A985" s="2" t="s">
        <v>6047</v>
      </c>
      <c r="B985" s="3">
        <v>43831</v>
      </c>
      <c r="C985" s="2" t="s">
        <v>6048</v>
      </c>
      <c r="D985" t="s">
        <v>6152</v>
      </c>
      <c r="E985" s="2">
        <v>2</v>
      </c>
      <c r="F985" s="2" t="str">
        <f>_xlfn.XLOOKUP(orders!C985,customers!$A$2:$A$1001,customers!$B$2:$B$1001)</f>
        <v>Fanchette Parlot</v>
      </c>
      <c r="G985" s="2" t="str">
        <f>IF(_xlfn.XLOOKUP(C985,customers!$A$2:$A$1001,customers!$C$2:$C$1001,,)=0,"",_xlfn.XLOOKUP(C985,customers!$A$2:$A$1001,customers!$C$2:$C$1001,,))</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cm="1">
        <f t="array" ref="N985">_xlfn.IFS(I985="Rob","Robusta",I985="Exc","Excelsa",I985="Ara","Arabica",I985="Lib","Liberica")</f>
        <v>Arabica</v>
      </c>
      <c r="O985" t="str" cm="1">
        <f t="array" ref="O985">_xlfn.IFS(J985="M","Medium",J985="L","Light",J985="D","Dark")</f>
        <v>Medium</v>
      </c>
      <c r="P985" t="str">
        <f>_xlfn.XLOOKUP(Orders[[#This Row],[Customer ID]],customers!$A$1:$A$1001,customers!$I$1:$I$1001,,0)</f>
        <v>Yes</v>
      </c>
    </row>
    <row r="986" spans="1:16" x14ac:dyDescent="0.25">
      <c r="A986" s="2" t="s">
        <v>6053</v>
      </c>
      <c r="B986" s="3">
        <v>44214</v>
      </c>
      <c r="C986" s="2" t="s">
        <v>6054</v>
      </c>
      <c r="D986" t="s">
        <v>6166</v>
      </c>
      <c r="E986" s="2">
        <v>1</v>
      </c>
      <c r="F986" s="2" t="str">
        <f>_xlfn.XLOOKUP(orders!C986,customers!$A$2:$A$1001,customers!$B$2:$B$1001)</f>
        <v>Ramon Cheak</v>
      </c>
      <c r="G986" s="2" t="str">
        <f>IF(_xlfn.XLOOKUP(C986,customers!$A$2:$A$1001,customers!$C$2:$C$1001,,)=0,"",_xlfn.XLOOKUP(C986,customers!$A$2:$A$1001,customers!$C$2:$C$1001,,))</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cm="1">
        <f t="array" ref="N986">_xlfn.IFS(I986="Rob","Robusta",I986="Exc","Excelsa",I986="Ara","Arabica",I986="Lib","Liberica")</f>
        <v>Excelsa</v>
      </c>
      <c r="O986" t="str" cm="1">
        <f t="array" ref="O986">_xlfn.IFS(J986="M","Medium",J986="L","Light",J986="D","Dark")</f>
        <v>Medium</v>
      </c>
      <c r="P986" t="str">
        <f>_xlfn.XLOOKUP(Orders[[#This Row],[Customer ID]],customers!$A$1:$A$1001,customers!$I$1:$I$1001,,0)</f>
        <v>Yes</v>
      </c>
    </row>
    <row r="987" spans="1:16" x14ac:dyDescent="0.25">
      <c r="A987" s="2" t="s">
        <v>6058</v>
      </c>
      <c r="B987" s="3">
        <v>44561</v>
      </c>
      <c r="C987" s="2" t="s">
        <v>6059</v>
      </c>
      <c r="D987" t="s">
        <v>6179</v>
      </c>
      <c r="E987" s="2">
        <v>4</v>
      </c>
      <c r="F987" s="2" t="str">
        <f>_xlfn.XLOOKUP(orders!C987,customers!$A$2:$A$1001,customers!$B$2:$B$1001)</f>
        <v>Koressa O'Geneay</v>
      </c>
      <c r="G987" s="2" t="str">
        <f>IF(_xlfn.XLOOKUP(C987,customers!$A$2:$A$1001,customers!$C$2:$C$1001,,)=0,"",_xlfn.XLOOKUP(C987,customers!$A$2:$A$1001,customers!$C$2:$C$1001,,))</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cm="1">
        <f t="array" ref="N987">_xlfn.IFS(I987="Rob","Robusta",I987="Exc","Excelsa",I987="Ara","Arabica",I987="Lib","Liberica")</f>
        <v>Robusta</v>
      </c>
      <c r="O987" t="str" cm="1">
        <f t="array" ref="O987">_xlfn.IFS(J987="M","Medium",J987="L","Light",J987="D","Dark")</f>
        <v>Light</v>
      </c>
      <c r="P987" t="str">
        <f>_xlfn.XLOOKUP(Orders[[#This Row],[Customer ID]],customers!$A$1:$A$1001,customers!$I$1:$I$1001,,0)</f>
        <v>No</v>
      </c>
    </row>
    <row r="988" spans="1:16" x14ac:dyDescent="0.25">
      <c r="A988" s="2" t="s">
        <v>6064</v>
      </c>
      <c r="B988" s="3">
        <v>43955</v>
      </c>
      <c r="C988" s="2" t="s">
        <v>6065</v>
      </c>
      <c r="D988" t="s">
        <v>6181</v>
      </c>
      <c r="E988" s="2">
        <v>1</v>
      </c>
      <c r="F988" s="2" t="str">
        <f>_xlfn.XLOOKUP(orders!C988,customers!$A$2:$A$1001,customers!$B$2:$B$1001)</f>
        <v>Claudell Ayre</v>
      </c>
      <c r="G988" s="2" t="str">
        <f>IF(_xlfn.XLOOKUP(C988,customers!$A$2:$A$1001,customers!$C$2:$C$1001,,)=0,"",_xlfn.XLOOKUP(C988,customers!$A$2:$A$1001,customers!$C$2:$C$1001,,))</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cm="1">
        <f t="array" ref="N988">_xlfn.IFS(I988="Rob","Robusta",I988="Exc","Excelsa",I988="Ara","Arabica",I988="Lib","Liberica")</f>
        <v>Liberica</v>
      </c>
      <c r="O988" t="str" cm="1">
        <f t="array" ref="O988">_xlfn.IFS(J988="M","Medium",J988="L","Light",J988="D","Dark")</f>
        <v>Medium</v>
      </c>
      <c r="P988" t="str">
        <f>_xlfn.XLOOKUP(Orders[[#This Row],[Customer ID]],customers!$A$1:$A$1001,customers!$I$1:$I$1001,,0)</f>
        <v>No</v>
      </c>
    </row>
    <row r="989" spans="1:16" x14ac:dyDescent="0.25">
      <c r="A989" s="2" t="s">
        <v>6070</v>
      </c>
      <c r="B989" s="3">
        <v>44247</v>
      </c>
      <c r="C989" s="2" t="s">
        <v>6071</v>
      </c>
      <c r="D989" t="s">
        <v>6158</v>
      </c>
      <c r="E989" s="2">
        <v>5</v>
      </c>
      <c r="F989" s="2" t="str">
        <f>_xlfn.XLOOKUP(orders!C989,customers!$A$2:$A$1001,customers!$B$2:$B$1001)</f>
        <v>Lorianne Kyneton</v>
      </c>
      <c r="G989" s="2" t="str">
        <f>IF(_xlfn.XLOOKUP(C989,customers!$A$2:$A$1001,customers!$C$2:$C$1001,,)=0,"",_xlfn.XLOOKUP(C989,customers!$A$2:$A$1001,customers!$C$2:$C$1001,,))</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cm="1">
        <f t="array" ref="N989">_xlfn.IFS(I989="Rob","Robusta",I989="Exc","Excelsa",I989="Ara","Arabica",I989="Lib","Liberica")</f>
        <v>Arabica</v>
      </c>
      <c r="O989" t="str" cm="1">
        <f t="array" ref="O989">_xlfn.IFS(J989="M","Medium",J989="L","Light",J989="D","Dark")</f>
        <v>Dark</v>
      </c>
      <c r="P989" t="str">
        <f>_xlfn.XLOOKUP(Orders[[#This Row],[Customer ID]],customers!$A$1:$A$1001,customers!$I$1:$I$1001,,0)</f>
        <v>Yes</v>
      </c>
    </row>
    <row r="990" spans="1:16" x14ac:dyDescent="0.25">
      <c r="A990" s="2" t="s">
        <v>6076</v>
      </c>
      <c r="B990" s="3">
        <v>43897</v>
      </c>
      <c r="C990" s="2" t="s">
        <v>6077</v>
      </c>
      <c r="D990" t="s">
        <v>6138</v>
      </c>
      <c r="E990" s="2">
        <v>3</v>
      </c>
      <c r="F990" s="2" t="str">
        <f>_xlfn.XLOOKUP(orders!C990,customers!$A$2:$A$1001,customers!$B$2:$B$1001)</f>
        <v>Adele McFayden</v>
      </c>
      <c r="G990" s="2" t="str">
        <f>IF(_xlfn.XLOOKUP(C990,customers!$A$2:$A$1001,customers!$C$2:$C$1001,,)=0,"",_xlfn.XLOOKUP(C990,customers!$A$2:$A$1001,customers!$C$2:$C$1001,,))</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cm="1">
        <f t="array" ref="N990">_xlfn.IFS(I990="Rob","Robusta",I990="Exc","Excelsa",I990="Ara","Arabica",I990="Lib","Liberica")</f>
        <v>Robusta</v>
      </c>
      <c r="O990" t="str" cm="1">
        <f t="array" ref="O990">_xlfn.IFS(J990="M","Medium",J990="L","Light",J990="D","Dark")</f>
        <v>Medium</v>
      </c>
      <c r="P990" t="str">
        <f>_xlfn.XLOOKUP(Orders[[#This Row],[Customer ID]],customers!$A$1:$A$1001,customers!$I$1:$I$1001,,0)</f>
        <v>Yes</v>
      </c>
    </row>
    <row r="991" spans="1:16" x14ac:dyDescent="0.25">
      <c r="A991" s="2" t="s">
        <v>6081</v>
      </c>
      <c r="B991" s="3">
        <v>43560</v>
      </c>
      <c r="C991" s="2" t="s">
        <v>6082</v>
      </c>
      <c r="D991" t="s">
        <v>6175</v>
      </c>
      <c r="E991" s="2">
        <v>6</v>
      </c>
      <c r="F991" s="2" t="str">
        <f>_xlfn.XLOOKUP(orders!C991,customers!$A$2:$A$1001,customers!$B$2:$B$1001)</f>
        <v>Herta Layne</v>
      </c>
      <c r="G991" s="2" t="str">
        <f>IF(_xlfn.XLOOKUP(C991,customers!$A$2:$A$1001,customers!$C$2:$C$1001,,)=0,"",_xlfn.XLOOKUP(C991,customers!$A$2:$A$1001,customers!$C$2:$C$1001,,))</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cm="1">
        <f t="array" ref="N991">_xlfn.IFS(I991="Rob","Robusta",I991="Exc","Excelsa",I991="Ara","Arabica",I991="Lib","Liberica")</f>
        <v>Arabica</v>
      </c>
      <c r="O991" t="str" cm="1">
        <f t="array" ref="O991">_xlfn.IFS(J991="M","Medium",J991="L","Light",J991="D","Dark")</f>
        <v>Medium</v>
      </c>
      <c r="P991" t="str">
        <f>_xlfn.XLOOKUP(Orders[[#This Row],[Customer ID]],customers!$A$1:$A$1001,customers!$I$1:$I$1001,,0)</f>
        <v>Yes</v>
      </c>
    </row>
    <row r="992" spans="1:16" x14ac:dyDescent="0.25">
      <c r="A992" s="2" t="s">
        <v>6086</v>
      </c>
      <c r="B992" s="3">
        <v>44718</v>
      </c>
      <c r="C992" s="2" t="s">
        <v>6118</v>
      </c>
      <c r="D992" t="s">
        <v>6153</v>
      </c>
      <c r="E992" s="2">
        <v>5</v>
      </c>
      <c r="F992" s="2" t="str">
        <f>_xlfn.XLOOKUP(orders!C992,customers!$A$2:$A$1001,customers!$B$2:$B$1001)</f>
        <v>Marguerite Graves</v>
      </c>
      <c r="G992" s="2" t="str">
        <f>IF(_xlfn.XLOOKUP(C992,customers!$A$2:$A$1001,customers!$C$2:$C$1001,,)=0,"",_xlfn.XLOOKUP(C992,customers!$A$2:$A$1001,customers!$C$2:$C$1001,,))</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cm="1">
        <f t="array" ref="N992">_xlfn.IFS(I992="Rob","Robusta",I992="Exc","Excelsa",I992="Ara","Arabica",I992="Lib","Liberica")</f>
        <v>Excelsa</v>
      </c>
      <c r="O992" t="str" cm="1">
        <f t="array" ref="O992">_xlfn.IFS(J992="M","Medium",J992="L","Light",J992="D","Dark")</f>
        <v>Dark</v>
      </c>
      <c r="P992" t="str">
        <f>_xlfn.XLOOKUP(Orders[[#This Row],[Customer ID]],customers!$A$1:$A$1001,customers!$I$1:$I$1001,,0)</f>
        <v>No</v>
      </c>
    </row>
    <row r="993" spans="1:16" x14ac:dyDescent="0.25">
      <c r="A993" s="2" t="s">
        <v>6086</v>
      </c>
      <c r="B993" s="3">
        <v>44718</v>
      </c>
      <c r="C993" s="2" t="s">
        <v>6118</v>
      </c>
      <c r="D993" t="s">
        <v>6169</v>
      </c>
      <c r="E993" s="2">
        <v>2</v>
      </c>
      <c r="F993" s="2" t="str">
        <f>_xlfn.XLOOKUP(orders!C993,customers!$A$2:$A$1001,customers!$B$2:$B$1001)</f>
        <v>Marguerite Graves</v>
      </c>
      <c r="G993" s="2" t="str">
        <f>IF(_xlfn.XLOOKUP(C993,customers!$A$2:$A$1001,customers!$C$2:$C$1001,,)=0,"",_xlfn.XLOOKUP(C993,customers!$A$2:$A$1001,customers!$C$2:$C$1001,,))</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cm="1">
        <f t="array" ref="N993">_xlfn.IFS(I993="Rob","Robusta",I993="Exc","Excelsa",I993="Ara","Arabica",I993="Lib","Liberica")</f>
        <v>Liberica</v>
      </c>
      <c r="O993" t="str" cm="1">
        <f t="array" ref="O993">_xlfn.IFS(J993="M","Medium",J993="L","Light",J993="D","Dark")</f>
        <v>Dark</v>
      </c>
      <c r="P993" t="str">
        <f>_xlfn.XLOOKUP(Orders[[#This Row],[Customer ID]],customers!$A$1:$A$1001,customers!$I$1:$I$1001,,0)</f>
        <v>No</v>
      </c>
    </row>
    <row r="994" spans="1:16" x14ac:dyDescent="0.25">
      <c r="A994" s="2" t="s">
        <v>6096</v>
      </c>
      <c r="B994" s="3">
        <v>44276</v>
      </c>
      <c r="C994" s="2" t="s">
        <v>6097</v>
      </c>
      <c r="D994" t="s">
        <v>6164</v>
      </c>
      <c r="E994" s="2">
        <v>3</v>
      </c>
      <c r="F994" s="2" t="str">
        <f>_xlfn.XLOOKUP(orders!C994,customers!$A$2:$A$1001,customers!$B$2:$B$1001)</f>
        <v>Desdemona Eye</v>
      </c>
      <c r="G994" s="2" t="str">
        <f>IF(_xlfn.XLOOKUP(C994,customers!$A$2:$A$1001,customers!$C$2:$C$1001,,)=0,"",_xlfn.XLOOKUP(C994,customers!$A$2:$A$1001,customers!$C$2:$C$1001,,))</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cm="1">
        <f t="array" ref="N994">_xlfn.IFS(I994="Rob","Robusta",I994="Exc","Excelsa",I994="Ara","Arabica",I994="Lib","Liberica")</f>
        <v>Liberica</v>
      </c>
      <c r="O994" t="str" cm="1">
        <f t="array" ref="O994">_xlfn.IFS(J994="M","Medium",J994="L","Light",J994="D","Dark")</f>
        <v>Light</v>
      </c>
      <c r="P994" t="str">
        <f>_xlfn.XLOOKUP(Orders[[#This Row],[Customer ID]],customers!$A$1:$A$1001,customers!$I$1:$I$1001,,0)</f>
        <v>No</v>
      </c>
    </row>
    <row r="995" spans="1:16" x14ac:dyDescent="0.25">
      <c r="A995" s="2" t="s">
        <v>6101</v>
      </c>
      <c r="B995" s="3">
        <v>44549</v>
      </c>
      <c r="C995" s="2" t="s">
        <v>6102</v>
      </c>
      <c r="D995" t="s">
        <v>6140</v>
      </c>
      <c r="E995" s="2">
        <v>6</v>
      </c>
      <c r="F995" s="2" t="str">
        <f>_xlfn.XLOOKUP(orders!C995,customers!$A$2:$A$1001,customers!$B$2:$B$1001)</f>
        <v>Margarette Sterland</v>
      </c>
      <c r="G995" s="2" t="str">
        <f>IF(_xlfn.XLOOKUP(C995,customers!$A$2:$A$1001,customers!$C$2:$C$1001,,)=0,"",_xlfn.XLOOKUP(C995,customers!$A$2:$A$1001,customers!$C$2:$C$1001,,))</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cm="1">
        <f t="array" ref="N995">_xlfn.IFS(I995="Rob","Robusta",I995="Exc","Excelsa",I995="Ara","Arabica",I995="Lib","Liberica")</f>
        <v>Arabica</v>
      </c>
      <c r="O995" t="str" cm="1">
        <f t="array" ref="O995">_xlfn.IFS(J995="M","Medium",J995="L","Light",J995="D","Dark")</f>
        <v>Light</v>
      </c>
      <c r="P995" t="str">
        <f>_xlfn.XLOOKUP(Orders[[#This Row],[Customer ID]],customers!$A$1:$A$1001,customers!$I$1:$I$1001,,0)</f>
        <v>No</v>
      </c>
    </row>
    <row r="996" spans="1:16" x14ac:dyDescent="0.25">
      <c r="A996" s="2" t="s">
        <v>6106</v>
      </c>
      <c r="B996" s="3">
        <v>44244</v>
      </c>
      <c r="C996" s="2" t="s">
        <v>6107</v>
      </c>
      <c r="D996" t="s">
        <v>6154</v>
      </c>
      <c r="E996" s="2">
        <v>3</v>
      </c>
      <c r="F996" s="2" t="str">
        <f>_xlfn.XLOOKUP(orders!C996,customers!$A$2:$A$1001,customers!$B$2:$B$1001)</f>
        <v>Catharine Scoines</v>
      </c>
      <c r="G996" s="2" t="str">
        <f>IF(_xlfn.XLOOKUP(C996,customers!$A$2:$A$1001,customers!$C$2:$C$1001,,)=0,"",_xlfn.XLOOKUP(C996,customers!$A$2:$A$1001,customers!$C$2:$C$1001,,))</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cm="1">
        <f t="array" ref="N996">_xlfn.IFS(I996="Rob","Robusta",I996="Exc","Excelsa",I996="Ara","Arabica",I996="Lib","Liberica")</f>
        <v>Arabica</v>
      </c>
      <c r="O996" t="str" cm="1">
        <f t="array" ref="O996">_xlfn.IFS(J996="M","Medium",J996="L","Light",J996="D","Dark")</f>
        <v>Dark</v>
      </c>
      <c r="P996" t="str">
        <f>_xlfn.XLOOKUP(Orders[[#This Row],[Customer ID]],customers!$A$1:$A$1001,customers!$I$1:$I$1001,,0)</f>
        <v>No</v>
      </c>
    </row>
    <row r="997" spans="1:16" x14ac:dyDescent="0.25">
      <c r="A997" s="2" t="s">
        <v>6111</v>
      </c>
      <c r="B997" s="3">
        <v>43836</v>
      </c>
      <c r="C997" s="2" t="s">
        <v>6112</v>
      </c>
      <c r="D997" t="s">
        <v>6142</v>
      </c>
      <c r="E997" s="2">
        <v>1</v>
      </c>
      <c r="F997" s="2" t="str">
        <f>_xlfn.XLOOKUP(orders!C997,customers!$A$2:$A$1001,customers!$B$2:$B$1001)</f>
        <v>Jennica Tewelson</v>
      </c>
      <c r="G997" s="2" t="str">
        <f>IF(_xlfn.XLOOKUP(C997,customers!$A$2:$A$1001,customers!$C$2:$C$1001,,)=0,"",_xlfn.XLOOKUP(C997,customers!$A$2:$A$1001,customers!$C$2:$C$1001,,))</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cm="1">
        <f t="array" ref="N997">_xlfn.IFS(I997="Rob","Robusta",I997="Exc","Excelsa",I997="Ara","Arabica",I997="Lib","Liberica")</f>
        <v>Robusta</v>
      </c>
      <c r="O997" t="str" cm="1">
        <f t="array" ref="O997">_xlfn.IFS(J997="M","Medium",J997="L","Light",J997="D","Dark")</f>
        <v>Light</v>
      </c>
      <c r="P997" t="str">
        <f>_xlfn.XLOOKUP(Orders[[#This Row],[Customer ID]],customers!$A$1:$A$1001,customers!$I$1:$I$1001,,0)</f>
        <v>No</v>
      </c>
    </row>
    <row r="998" spans="1:16" x14ac:dyDescent="0.25">
      <c r="A998" s="2" t="s">
        <v>6117</v>
      </c>
      <c r="B998" s="3">
        <v>44685</v>
      </c>
      <c r="C998" s="2" t="s">
        <v>6118</v>
      </c>
      <c r="D998" t="s">
        <v>6146</v>
      </c>
      <c r="E998" s="2">
        <v>5</v>
      </c>
      <c r="F998" s="2" t="str">
        <f>_xlfn.XLOOKUP(orders!C998,customers!$A$2:$A$1001,customers!$B$2:$B$1001)</f>
        <v>Marguerite Graves</v>
      </c>
      <c r="G998" s="2" t="str">
        <f>IF(_xlfn.XLOOKUP(C998,customers!$A$2:$A$1001,customers!$C$2:$C$1001,,)=0,"",_xlfn.XLOOKUP(C998,customers!$A$2:$A$1001,customers!$C$2:$C$1001,,))</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cm="1">
        <f t="array" ref="N998">_xlfn.IFS(I998="Rob","Robusta",I998="Exc","Excelsa",I998="Ara","Arabica",I998="Lib","Liberica")</f>
        <v>Robusta</v>
      </c>
      <c r="O998" t="str" cm="1">
        <f t="array" ref="O998">_xlfn.IFS(J998="M","Medium",J998="L","Light",J998="D","Dark")</f>
        <v>Medium</v>
      </c>
      <c r="P998" t="str">
        <f>_xlfn.XLOOKUP(Orders[[#This Row],[Customer ID]],customers!$A$1:$A$1001,customers!$I$1:$I$1001,,0)</f>
        <v>No</v>
      </c>
    </row>
    <row r="999" spans="1:16" x14ac:dyDescent="0.25">
      <c r="A999" s="2" t="s">
        <v>6122</v>
      </c>
      <c r="B999" s="3">
        <v>43749</v>
      </c>
      <c r="C999" s="2" t="s">
        <v>6118</v>
      </c>
      <c r="D999" t="s">
        <v>6157</v>
      </c>
      <c r="E999" s="2">
        <v>4</v>
      </c>
      <c r="F999" s="2" t="str">
        <f>_xlfn.XLOOKUP(orders!C999,customers!$A$2:$A$1001,customers!$B$2:$B$1001)</f>
        <v>Marguerite Graves</v>
      </c>
      <c r="G999" s="2" t="str">
        <f>IF(_xlfn.XLOOKUP(C999,customers!$A$2:$A$1001,customers!$C$2:$C$1001,,)=0,"",_xlfn.XLOOKUP(C999,customers!$A$2:$A$1001,customers!$C$2:$C$1001,,))</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cm="1">
        <f t="array" ref="N999">_xlfn.IFS(I999="Rob","Robusta",I999="Exc","Excelsa",I999="Ara","Arabica",I999="Lib","Liberica")</f>
        <v>Arabica</v>
      </c>
      <c r="O999" t="str" cm="1">
        <f t="array" ref="O999">_xlfn.IFS(J999="M","Medium",J999="L","Light",J999="D","Dark")</f>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_xlfn.XLOOKUP(orders!C1000,customers!$A$2:$A$1001,customers!$B$2:$B$1001)</f>
        <v>Nicolina Jenny</v>
      </c>
      <c r="G1000" s="2" t="str">
        <f>IF(_xlfn.XLOOKUP(C1000,customers!$A$2:$A$1001,customers!$C$2:$C$1001,,)=0,"",_xlfn.XLOOKUP(C1000,customers!$A$2:$A$1001,customers!$C$2:$C$1001,,))</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_xlfn.IFS(I1000="Rob","Robusta",I1000="Exc","Excelsa",I1000="Ara","Arabica",I1000="Lib","Liberica")</f>
        <v>Arabica</v>
      </c>
      <c r="O1000" t="str" cm="1">
        <f t="array" ref="O1000">_xlfn.IFS(J1000="M","Medium",J1000="L","Light",J1000="D","Dark")</f>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_xlfn.XLOOKUP(orders!C1001,customers!$A$2:$A$1001,customers!$B$2:$B$1001)</f>
        <v>Vidovic Antonelli</v>
      </c>
      <c r="G1001" s="2" t="str">
        <f>IF(_xlfn.XLOOKUP(C1001,customers!$A$2:$A$1001,customers!$C$2:$C$1001,,)=0,"",_xlfn.XLOOKUP(C1001,customers!$A$2:$A$1001,customers!$C$2:$C$1001,,))</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cm="1">
        <f t="array" ref="N1001">_xlfn.IFS(I1001="Rob","Robusta",I1001="Exc","Excelsa",I1001="Ara","Arabica",I1001="Lib","Liberica")</f>
        <v>Excelsa</v>
      </c>
      <c r="O1001" t="str" cm="1">
        <f t="array" ref="O1001">_xlfn.IFS(J1001="M","Medium",J1001="L","Light",J1001="D","Dark")</f>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8" workbookViewId="0"/>
  </sheetViews>
  <sheetFormatPr defaultColWidth="8.85546875"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J22" sqref="J22"/>
    </sheetView>
  </sheetViews>
  <sheetFormatPr defaultColWidth="8.85546875" defaultRowHeight="15" x14ac:dyDescent="0.25"/>
  <cols>
    <col min="1" max="1" width="10.140625" bestFit="1" customWidth="1"/>
    <col min="2" max="2" width="11.7109375" bestFit="1" customWidth="1"/>
    <col min="3" max="3" width="10.42578125" bestFit="1" customWidth="1"/>
    <col min="4" max="4" width="4.42578125" bestFit="1" customWidth="1"/>
    <col min="5" max="5" width="9.42578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EFE TASDELEN</cp:lastModifiedBy>
  <cp:revision/>
  <dcterms:created xsi:type="dcterms:W3CDTF">2022-11-26T09:51:45Z</dcterms:created>
  <dcterms:modified xsi:type="dcterms:W3CDTF">2025-11-10T14:15:06Z</dcterms:modified>
  <cp:category/>
  <cp:contentStatus/>
</cp:coreProperties>
</file>